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AA106246E4B86E0/Documents/"/>
    </mc:Choice>
  </mc:AlternateContent>
  <xr:revisionPtr revIDLastSave="8" documentId="8_{FFA7D4A7-DF97-4904-B248-226FA21D8AB1}" xr6:coauthVersionLast="47" xr6:coauthVersionMax="47" xr10:uidLastSave="{16362B19-29B8-415E-9A7E-AFB1140D1777}"/>
  <bookViews>
    <workbookView xWindow="-108" yWindow="-108" windowWidth="23256" windowHeight="12456" activeTab="2" xr2:uid="{00000000-000D-0000-FFFF-FFFF00000000}"/>
  </bookViews>
  <sheets>
    <sheet name="regression_analysis" sheetId="7" r:id="rId1"/>
    <sheet name="regression_2" sheetId="4" r:id="rId2"/>
    <sheet name="multi-regression" sheetId="5" r:id="rId3"/>
    <sheet name="store_performance" sheetId="1" r:id="rId4"/>
    <sheet name="data_dictionary" sheetId="2" r:id="rId5"/>
  </sheets>
  <definedNames>
    <definedName name="_xlnm._FilterDatabase" localSheetId="3" hidden="1">store_performance!#REF!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7" l="1" a="1"/>
  <c r="K11" i="7" s="1"/>
  <c r="J2" i="1" a="1"/>
  <c r="J2" i="1" s="1"/>
  <c r="I2" i="1" a="1"/>
  <c r="I2" i="1" s="1"/>
  <c r="H2" i="1" a="1"/>
  <c r="H2" i="1" s="1"/>
  <c r="F2" i="1" a="1"/>
  <c r="F2" i="1" s="1"/>
  <c r="E2" i="1" a="1"/>
  <c r="E2" i="1" s="1"/>
  <c r="D2" i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<sst xmlns="http://schemas.openxmlformats.org/spreadsheetml/2006/main" count="1098" uniqueCount="152">
  <si>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</si>
  <si>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</si>
  <si>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</si>
  <si>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</si>
  <si>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</si>
  <si>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</si>
  <si>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</si>
  <si>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</si>
  <si>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</si>
  <si>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</si>
  <si>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</si>
  <si>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</si>
  <si>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</si>
  <si>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</si>
  <si>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</si>
  <si>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</si>
  <si>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</si>
  <si>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</si>
  <si>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</si>
  <si>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</si>
  <si>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</si>
  <si>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</si>
  <si>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</si>
  <si>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</si>
  <si>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</si>
  <si>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</si>
  <si>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</si>
  <si>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</si>
  <si>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</si>
  <si>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</si>
  <si>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</si>
  <si>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</si>
  <si>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</si>
  <si>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</si>
  <si>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</si>
  <si>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</si>
  <si>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</si>
  <si>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</si>
  <si>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</si>
  <si>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</si>
  <si>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</si>
  <si>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</si>
  <si>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</si>
  <si>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</si>
  <si>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</si>
  <si>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</si>
  <si>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</si>
  <si>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</si>
  <si>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</si>
  <si>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</si>
  <si>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</si>
  <si>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</si>
  <si>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</si>
  <si>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</si>
  <si>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</si>
  <si>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</si>
  <si>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</si>
  <si>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</si>
  <si>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</si>
  <si>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</si>
  <si>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</si>
  <si>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</si>
  <si>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</si>
  <si>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</si>
  <si>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</si>
  <si>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</si>
  <si>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</si>
  <si>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</si>
  <si>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</si>
  <si>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</si>
  <si>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</si>
  <si>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</si>
  <si>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</si>
  <si>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</si>
  <si>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</si>
  <si>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</si>
  <si>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</si>
  <si>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</si>
  <si>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</si>
  <si>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</si>
  <si>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</si>
  <si>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</si>
  <si>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</si>
  <si>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</si>
  <si>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</si>
  <si>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</si>
  <si>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</si>
  <si>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</si>
  <si>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</si>
  <si>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</si>
  <si>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</si>
  <si>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</si>
  <si>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</si>
  <si>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</si>
  <si>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</si>
  <si>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</si>
  <si>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</si>
  <si>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</si>
  <si>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</si>
  <si>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</si>
  <si>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</si>
  <si>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</si>
  <si>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</si>
  <si>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</si>
  <si>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</si>
  <si>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</si>
  <si>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</si>
  <si>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</si>
  <si>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</si>
  <si>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</si>
  <si>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</si>
  <si>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</si>
  <si>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</si>
  <si>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</si>
  <si>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</si>
  <si>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</si>
  <si>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</si>
  <si>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</si>
  <si>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region_north_dummy</t>
  </si>
  <si>
    <t>region_south_dummy</t>
  </si>
  <si>
    <t>region_west_dummy</t>
  </si>
  <si>
    <t>High_street_type</t>
  </si>
  <si>
    <t>Airport_type</t>
  </si>
  <si>
    <t>Mall_type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</si>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</sst>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1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3" fillId="0" borderId="1" xfId="1"/>
    <xf numFmtId="0" fontId="2" fillId="0" borderId="3" xfId="1" applyFont="1" applyBorder="1" applyAlignment="1">
      <alignment horizontal="centerContinuous"/>
    </xf>
    <xf numFmtId="0" fontId="3" fillId="0" borderId="2" xfId="1" applyBorder="1"/>
    <xf numFmtId="0" fontId="2" fillId="0" borderId="3" xfId="1" applyFont="1" applyBorder="1" applyAlignment="1">
      <alignment horizontal="center"/>
    </xf>
  </cellXfs>
  <cellStyles count="2">
    <cellStyle name="Normal" xfId="0" builtinId="0"/>
    <cellStyle name="Normal 2" xfId="1" xr:uid="{D0EF6A79-7D4E-46CE-A6CC-BFCF5BAA05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BE2801-C894-4006-B4A3-B60BA0FE2633}">
  <we:reference id="wa200010884" version="1.0.0.2" store="en-US" storeType="OMEX"/>
  <we:alternateReferences>
    <we:reference id="wa200010884" version="1.0.0.2" store="wa2000108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_xldudf_STAT_ACF</we:customFunctionIds>
        <we:customFunctionIds>_xldudf_STAT_ACOVF</we:customFunctionIds>
        <we:customFunctionIds>_xldudf_STAT_ADFULLER</we:customFunctionIds>
        <we:customFunctionIds>_xldudf_STAT_ALEXANDERGOVERN</we:customFunctionIds>
        <we:customFunctionIds>_xldudf_STAT_ANDERSON_KSAMP</we:customFunctionIds>
        <we:customFunctionIds>_xldudf_STAT_ANOVA</we:customFunctionIds>
        <we:customFunctionIds>_xldudf_STAT_ANSARI</we:customFunctionIds>
        <we:customFunctionIds>_xldudf_STAT_ARIMA_FORECAST</we:customFunctionIds>
        <we:customFunctionIds>_xldudf_STAT_ARMA_ORDER_IC</we:customFunctionIds>
        <we:customFunctionIds>_xldudf_STAT_BARNARD_EXACT</we:customFunctionIds>
        <we:customFunctionIds>_xldudf_STAT_BARTLETT</we:customFunctionIds>
        <we:customFunctionIds>_xldudf_STAT_BAYES_MVS_CI</we:customFunctionIds>
        <we:customFunctionIds>_xldudf_STAT_BB_LOGBETA</we:customFunctionIds>
        <we:customFunctionIds>_xldudf_STAT_BB_POST_UPDATE</we:customFunctionIds>
        <we:customFunctionIds>_xldudf_STAT_BB_QBETA</we:customFunctionIds>
        <we:customFunctionIds>_xldudf_STAT_BERNOULLI</we:customFunctionIds>
        <we:customFunctionIds>_xldudf_STAT_BETA</we:customFunctionIds>
        <we:customFunctionIds>_xldudf_STAT_BETA_CI_BOUNDS</we:customFunctionIds>
        <we:customFunctionIds>_xldudf_STAT_BETABINOM</we:customFunctionIds>
        <we:customFunctionIds>_xldudf_STAT_BETANBINOM</we:customFunctionIds>
        <we:customFunctionIds>_xldudf_STAT_BINNED_STATISTIC</we:customFunctionIds>
        <we:customFunctionIds>_xldudf_STAT_BINNED_STATISTIC_2D</we:customFunctionIds>
        <we:customFunctionIds>_xldudf_STAT_BINOM</we:customFunctionIds>
        <we:customFunctionIds>_xldudf_STAT_BINOMTEST</we:customFunctionIds>
        <we:customFunctionIds>_xldudf_STAT_BOLTZMANN</we:customFunctionIds>
        <we:customFunctionIds>_xldudf_STAT_BOSCHLOO_EXACT</we:customFunctionIds>
        <we:customFunctionIds>_xldudf_STAT_BRUNNERMUNZEL</we:customFunctionIds>
        <we:customFunctionIds>_xldudf_STAT_BWS_TEST</we:customFunctionIds>
        <we:customFunctionIds>_xldudf_STAT_CANCORR</we:customFunctionIds>
        <we:customFunctionIds>_xldudf_STAT_CAUCHY</we:customFunctionIds>
        <we:customFunctionIds>_xldudf_STAT_CCF</we:customFunctionIds>
        <we:customFunctionIds>_xldudf_STAT_CCOVF</we:customFunctionIds>
        <we:customFunctionIds>_xldudf_STAT_CHI2_CONTINGENCY</we:customFunctionIds>
        <we:customFunctionIds>_xldudf_STAT_CHISQ</we:customFunctionIds>
        <we:customFunctionIds>_xldudf_STAT_COX_HAZARDS</we:customFunctionIds>
        <we:customFunctionIds>_xldudf_STAT_CRONBACH_ALPHA</we:customFunctionIds>
        <we:customFunctionIds>_xldudf_STAT_CUMFREQ</we:customFunctionIds>
        <we:customFunctionIds>_xldudf_STAT_CVM_2SAMP</we:customFunctionIds>
        <we:customFunctionIds>_xldudf_STAT_DESCRIBE</we:customFunctionIds>
        <we:customFunctionIds>_xldudf_STAT_DETREND</we:customFunctionIds>
        <we:customFunctionIds>_xldudf_STAT_DIRICHLET</we:customFunctionIds>
        <we:customFunctionIds>_xldudf_STAT_DIRICHLET_MULTINOM</we:customFunctionIds>
        <we:customFunctionIds>_xldudf_STAT_DISTANCE_CORR</we:customFunctionIds>
        <we:customFunctionIds>_xldudf_STAT_DLAPLACE</we:customFunctionIds>
        <we:customFunctionIds>_xldudf_STAT_DM_CRED_INT</we:customFunctionIds>
        <we:customFunctionIds>_xldudf_STAT_DM_DIRICHLET_SUM</we:customFunctionIds>
        <we:customFunctionIds>_xldudf_STAT_DM_LOGBETA</we:customFunctionIds>
        <we:customFunctionIds>_xldudf_STAT_DM_LOGSUM_NORM</we:customFunctionIds>
        <we:customFunctionIds>_xldudf_STAT_DM_POST_UPDATE</we:customFunctionIds>
        <we:customFunctionIds>_xldudf_STAT_DM_PREDICTIVE</we:customFunctionIds>
        <we:customFunctionIds>_xldudf_STAT_DUNNETT</we:customFunctionIds>
        <we:customFunctionIds>_xldudf_STAT_EMA_LFILTER</we:customFunctionIds>
        <we:customFunctionIds>_xldudf_STAT_EMA_PERIOD</we:customFunctionIds>
        <we:customFunctionIds>_xldudf_STAT_EPPS_SINGLE_2SAMP</we:customFunctionIds>
        <we:customFunctionIds>_xldudf_STAT_EXP_SURVIVAL_REG</we:customFunctionIds>
        <we:customFunctionIds>_xldudf_STAT_EXPECTILE</we:customFunctionIds>
        <we:customFunctionIds>_xldudf_STAT_EXPON</we:customFunctionIds>
        <we:customFunctionIds>_xldudf_STAT_F_DIST</we:customFunctionIds>
        <we:customFunctionIds>_xldudf_STAT_F_ONEWAY</we:customFunctionIds>
        <we:customFunctionIds>_xldudf_STAT_FACTOR_ANALYSIS</we:customFunctionIds>
        <we:customFunctionIds>_xldudf_STAT_FISHER_EXACT</we:customFunctionIds>
        <we:customFunctionIds>_xldudf_STAT_FLIGNER</we:customFunctionIds>
        <we:customFunctionIds>_xldudf_STAT_FRIEDMANCHISQUARE</we:customFunctionIds>
        <we:customFunctionIds>_xldudf_STAT_GAMESHOWELL</we:customFunctionIds>
        <we:customFunctionIds>_xldudf_STAT_GAMMA_CI_BOUNDS</we:customFunctionIds>
        <we:customFunctionIds>_xldudf_STAT_GAMMA_POST_Q</we:customFunctionIds>
        <we:customFunctionIds>_xldudf_STAT_GEE_MODEL</we:customFunctionIds>
        <we:customFunctionIds>_xldudf_STAT_GEOM</we:customFunctionIds>
        <we:customFunctionIds>_xldudf_STAT_GLM_BINOMIAL</we:customFunctionIds>
        <we:customFunctionIds>_xldudf_STAT_GLM_GAMMA</we:customFunctionIds>
        <we:customFunctionIds>_xldudf_STAT_GLM_INV_GAUSS</we:customFunctionIds>
        <we:customFunctionIds>_xldudf_STAT_GLM_NEG_BINOM</we:customFunctionIds>
        <we:customFunctionIds>_xldudf_STAT_GLM_POISSON</we:customFunctionIds>
        <we:customFunctionIds>_xldudf_STAT_GLM_TWEEDIE</we:customFunctionIds>
        <we:customFunctionIds>_xldudf_STAT_GLMM_BINOMIAL</we:customFunctionIds>
        <we:customFunctionIds>_xldudf_STAT_GLMM_POISSON</we:customFunctionIds>
        <we:customFunctionIds>_xldudf_STAT_GLS_REGRESSION</we:customFunctionIds>
        <we:customFunctionIds>_xldudf_STAT_GMEAN</we:customFunctionIds>
        <we:customFunctionIds>_xldudf_STAT_HANNAN_RISSANEN</we:customFunctionIds>
        <we:customFunctionIds>_xldudf_STAT_HMEAN</we:customFunctionIds>
        <we:customFunctionIds>_xldudf_STAT_HOLT_FORECAST</we:customFunctionIds>
        <we:customFunctionIds>_xldudf_STAT_HOMOSCEDASTICITY</we:customFunctionIds>
        <we:customFunctionIds>_xldudf_STAT_HURDLE_COUNT_MODEL</we:customFunctionIds>
        <we:customFunctionIds>_xldudf_STAT_HW_FORECAST</we:customFunctionIds>
        <we:customFunctionIds>_xldudf_STAT_HYPERGEOM</we:customFunctionIds>
        <we:customFunctionIds>_xldudf_STAT_INFLUENCE_DIAG</we:customFunctionIds>
        <we:customFunctionIds>_xldudf_STAT_INNOVATIONS_MLE</we:customFunctionIds>
        <we:customFunctionIds>_xldudf_STAT_INVGAMMA_CI_BOUNDS</we:customFunctionIds>
        <we:customFunctionIds>_xldudf_STAT_INVGAMMA_POST_Q</we:customFunctionIds>
        <we:customFunctionIds>_xldudf_STAT_JARQUE_BERA</we:customFunctionIds>
        <we:customFunctionIds>_xldudf_STAT_KAPLAN_MEIER</we:customFunctionIds>
        <we:customFunctionIds>_xldudf_STAT_KENDALLTAU</we:customFunctionIds>
        <we:customFunctionIds>_xldudf_STAT_KPSS</we:customFunctionIds>
        <we:customFunctionIds>_xldudf_STAT_KRUSKAL</we:customFunctionIds>
        <we:customFunctionIds>_xldudf_STAT_KS_2SAMP</we:customFunctionIds>
        <we:customFunctionIds>_xldudf_STAT_KSTEST</we:customFunctionIds>
        <we:customFunctionIds>_xldudf_STAT_KURTOSIS</we:customFunctionIds>
        <we:customFunctionIds>_xldudf_STAT_KURTOSISTEST</we:customFunctionIds>
        <we:customFunctionIds>_xldudf_STAT_LAPLACE</we:customFunctionIds>
        <we:customFunctionIds>_xldudf_STAT_LEVENE</we:customFunctionIds>
        <we:customFunctionIds>_xldudf_STAT_LINREGRESS</we:customFunctionIds>
        <we:customFunctionIds>_xldudf_STAT_LOGIT_MODEL</we:customFunctionIds>
        <we:customFunctionIds>_xldudf_STAT_LOGNORM</we:customFunctionIds>
        <we:customFunctionIds>_xldudf_STAT_LOGSER</we:customFunctionIds>
        <we:customFunctionIds>_xldudf_STAT_MANNWHITNEYU</we:customFunctionIds>
        <we:customFunctionIds>_xldudf_STAT_MANOVA_TEST</we:customFunctionIds>
        <we:customFunctionIds>_xldudf_STAT_MATRIX_NORMAL</we:customFunctionIds>
        <we:customFunctionIds>_xldudf_STAT_MEDIAN_TEST</we:customFunctionIds>
        <we:customFunctionIds>_xldudf_STAT_MEDIATION_ANALYSIS</we:customFunctionIds>
        <we:customFunctionIds>_xldudf_STAT_MIXED_ANOVA</we:customFunctionIds>
        <we:customFunctionIds>_xldudf_STAT_MIXED_LINEAR_MODEL</we:customFunctionIds>
        <we:customFunctionIds>_xldudf_STAT_MODE</we:customFunctionIds>
        <we:customFunctionIds>_xldudf_STAT_MOMENT</we:customFunctionIds>
        <we:customFunctionIds>_xldudf_STAT_MOOD</we:customFunctionIds>
        <we:customFunctionIds>_xldudf_STAT_MSTL</we:customFunctionIds>
        <we:customFunctionIds>_xldudf_STAT_MULTINOMIAL</we:customFunctionIds>
        <we:customFunctionIds>_xldudf_STAT_MULTINOMIAL_LOGIT</we:customFunctionIds>
        <we:customFunctionIds>_xldudf_STAT_MULTISCALE_GRAPH</we:customFunctionIds>
        <we:customFunctionIds>_xldudf_STAT_MULTIVARIATE_NORMAL</we:customFunctionIds>
        <we:customFunctionIds>_xldudf_STAT_MULTIVARIATE_T</we:customFunctionIds>
        <we:customFunctionIds>_xldudf_STAT_MV_HYPERGEOM</we:customFunctionIds>
        <we:customFunctionIds>_xldudf_STAT_MVSDIST_CI</we:customFunctionIds>
        <we:customFunctionIds>_xldudf_STAT_NBINOM</we:customFunctionIds>
        <we:customFunctionIds>_xldudf_STAT_NHYPERGEOM</we:customFunctionIds>
        <we:customFunctionIds>_xldudf_STAT_NIG_POST_UPDATE</we:customFunctionIds>
        <we:customFunctionIds>_xldudf_STAT_NN_POST_UPDATE</we:customFunctionIds>
        <we:customFunctionIds>_xldudf_STAT_NORM</we:customFunctionIds>
        <we:customFunctionIds>_xldudf_STAT_NORMALITY</we:customFunctionIds>
        <we:customFunctionIds>_xldudf_STAT_NORMALTEST</we:customFunctionIds>
        <we:customFunctionIds>_xldudf_STAT_OLS_DIAGNOSTICS</we:customFunctionIds>
        <we:customFunctionIds>_xldudf_STAT_OLS_REGRESSION</we:customFunctionIds>
        <we:customFunctionIds>_xldudf_STAT_ORDERED_LOGIT</we:customFunctionIds>
        <we:customFunctionIds>_xldudf_STAT_ORTHO_GROUP</we:customFunctionIds>
        <we:customFunctionIds>_xldudf_STAT_PACF</we:customFunctionIds>
        <we:customFunctionIds>_xldudf_STAT_PAGE_TREND_TEST</we:customFunctionIds>
        <we:customFunctionIds>_xldudf_STAT_PAIRWISE_TUKEY</we:customFunctionIds>
        <we:customFunctionIds>_xldudf_STAT_PARETO</we:customFunctionIds>
        <we:customFunctionIds>_xldudf_STAT_PARTIAL_CORR</we:customFunctionIds>
        <we:customFunctionIds>_xldudf_STAT_PCA_ANALYSIS</we:customFunctionIds>
        <we:customFunctionIds>_xldudf_STAT_PEARSONR</we:customFunctionIds>
        <we:customFunctionIds>_xldudf_STAT_PERCENTILEOFSCORE</we:customFunctionIds>
        <we:customFunctionIds>_xldudf_STAT_PERIODOGRAM</we:customFunctionIds>
        <we:customFunctionIds>_xldudf_STAT_PLANCK</we:customFunctionIds>
        <we:customFunctionIds>_xldudf_STAT_PMEAN</we:customFunctionIds>
        <we:customFunctionIds>_xldudf_STAT_POINTBISERIALR</we:customFunctionIds>
        <we:customFunctionIds>_xldudf_STAT_POISSON_DIST</we:customFunctionIds>
        <we:customFunctionIds>_xldudf_STAT_POISSON_MEANS_TEST</we:customFunctionIds>
        <we:customFunctionIds>_xldudf_STAT_POSTERIOR_BMV</we:customFunctionIds>
        <we:customFunctionIds>_xldudf_STAT_POSTERIOR_ENTROPY</we:customFunctionIds>
        <we:customFunctionIds>_xldudf_STAT_POSTERIOR_LOGSUMEXP</we:customFunctionIds>
        <we:customFunctionIds>_xldudf_STAT_POSTERIOR_MAP</we:customFunctionIds>
        <we:customFunctionIds>_xldudf_STAT_POSTERIOR_TAILPROB</we:customFunctionIds>
        <we:customFunctionIds>_xldudf_STAT_POSTERIOR_WMEANVAR</we:customFunctionIds>
        <we:customFunctionIds>_xldudf_STAT_POSTERIOR_XLOGY</we:customFunctionIds>
        <we:customFunctionIds>_xldudf_STAT_PROBIT_MODEL</we:customFunctionIds>
        <we:customFunctionIds>_xldudf_STAT_Q_STAT</we:customFunctionIds>
        <we:customFunctionIds>_xldudf_STAT_QUANTILE_REGRESSION</we:customFunctionIds>
        <we:customFunctionIds>_xldudf_STAT_QUANTILE_TEST</we:customFunctionIds>
        <we:customFunctionIds>_xldudf_STAT_RANDINT</we:customFunctionIds>
        <we:customFunctionIds>_xldudf_STAT_RANDOM_CORRELATION</we:customFunctionIds>
        <we:customFunctionIds>_xldudf_STAT_RANKSUMS</we:customFunctionIds>
        <we:customFunctionIds>_xldudf_STAT_REGRESS_DIAG</we:customFunctionIds>
        <we:customFunctionIds>_xldudf_STAT_RELFREQ</we:customFunctionIds>
        <we:customFunctionIds>_xldudf_STAT_RM_ANOVA</we:customFunctionIds>
        <we:customFunctionIds>_xldudf_STAT_ROBUST_LINEAR_MODEL</we:customFunctionIds>
        <we:customFunctionIds>_xldudf_STAT_RURTEST</we:customFunctionIds>
        <we:customFunctionIds>_xldudf_STAT_SAMPLE_EQTAIL_CI</we:customFunctionIds>
        <we:customFunctionIds>_xldudf_STAT_SAMPLE_HPD_CI</we:customFunctionIds>
        <we:customFunctionIds>_xldudf_STAT_SARIMAX_FORECAST</we:customFunctionIds>
        <we:customFunctionIds>_xldudf_STAT_SCOREATPERCENTILE</we:customFunctionIds>
        <we:customFunctionIds>_xldudf_STAT_SEASDECOMP</we:customFunctionIds>
        <we:customFunctionIds>_xldudf_STAT_SES_FORECAST</we:customFunctionIds>
        <we:customFunctionIds>_xldudf_STAT_SHAPIRO</we:customFunctionIds>
        <we:customFunctionIds>_xldudf_STAT_SIEGELSLOPES</we:customFunctionIds>
        <we:customFunctionIds>_xldudf_STAT_SKELLAM</we:customFunctionIds>
        <we:customFunctionIds>_xldudf_STAT_SKEWNESS</we:customFunctionIds>
        <we:customFunctionIds>_xldudf_STAT_SKEWTEST</we:customFunctionIds>
        <we:customFunctionIds>_xldudf_STAT_SMA_CONV</we:customFunctionIds>
        <we:customFunctionIds>_xldudf_STAT_SMA_CUMSUM</we:customFunctionIds>
        <we:customFunctionIds>_xldudf_STAT_SOMERSD</we:customFunctionIds>
        <we:customFunctionIds>_xldudf_STAT_SPEARMANR</we:customFunctionIds>
        <we:customFunctionIds>_xldudf_STAT_SPECIAL_ORTHO_GROUP</we:customFunctionIds>
        <we:customFunctionIds>_xldudf_STAT_SPECIFICATION_TESTS</we:customFunctionIds>
        <we:customFunctionIds>_xldudf_STAT_STL</we:customFunctionIds>
        <we:customFunctionIds>_xldudf_STAT_T_DIST</we:customFunctionIds>
        <we:customFunctionIds>_xldudf_STAT_THEILSLOPES</we:customFunctionIds>
        <we:customFunctionIds>_xldudf_STAT_TTEST_1SAMP</we:customFunctionIds>
        <we:customFunctionIds>_xldudf_STAT_TTEST_IND</we:customFunctionIds>
        <we:customFunctionIds>_xldudf_STAT_TTEST_IND_STATS</we:customFunctionIds>
        <we:customFunctionIds>_xldudf_STAT_UNIFORM</we:customFunctionIds>
        <we:customFunctionIds>_xldudf_STAT_UNIFORM_DIRECTION</we:customFunctionIds>
        <we:customFunctionIds>_xldudf_STAT_UNITARY_GROUP</we:customFunctionIds>
        <we:customFunctionIds>_xldudf_STAT_VAL_DISCRETE</we:customFunctionIds>
        <we:customFunctionIds>_xldudf_STAT_VONMISES_FISHER</we:customFunctionIds>
        <we:customFunctionIds>_xldudf_STAT_WEIBULL_MIN</we:customFunctionIds>
        <we:customFunctionIds>_xldudf_STAT_WEIGHTEDTAU</we:customFunctionIds>
        <we:customFunctionIds>_xldudf_STAT_WELCH</we:customFunctionIds>
        <we:customFunctionIds>_xldudf_STAT_WELCH_ANOVA</we:customFunctionIds>
        <we:customFunctionIds>_xldudf_STAT_WINMA_CONV</we:customFunctionIds>
        <we:customFunctionIds>_xldudf_STAT_WISHART</we:customFunctionIds>
        <we:customFunctionIds>_xldudf_STAT_WLS_REGRESSION</we:customFunctionIds>
        <we:customFunctionIds>_xldudf_STAT_WMA</we:customFunctionIds>
        <we:customFunctionIds>_xldudf_STAT_YULESIMON</we:customFunctionIds>
        <we:customFunctionIds>_xldudf_STAT_ZINB_MODEL</we:customFunctionIds>
        <we:customFunctionIds>_xldudf_STAT_ZIP_MODEL</we:customFunctionIds>
        <we:customFunctionIds>_xldudf_STAT_ZIPF</we:customFunctionIds>
        <we:customFunctionIds>_xldudf_STAT_ZIPFIAN</we:customFunctionIds>
        <we:customFunctionIds>_xldudf_STAT_ZIVOT_ANDREWS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59CD-3591-447E-823D-09F53BDCB4BD}">
  <dimension ref="A2:Q345"/>
  <sheetViews>
    <sheetView zoomScale="68" workbookViewId="0">
      <selection activeCell="P16" sqref="P16"/>
    </sheetView>
  </sheetViews>
  <sheetFormatPr defaultRowHeight="13.8"/>
  <cols>
    <col min="1" max="1" width="18.3984375" style="8" bestFit="1" customWidth="1"/>
    <col min="2" max="2" width="21.796875" style="8" bestFit="1" customWidth="1"/>
    <col min="3" max="3" width="13.5" style="8" bestFit="1" customWidth="1"/>
    <col min="4" max="5" width="13" style="8" bestFit="1" customWidth="1"/>
    <col min="6" max="6" width="14.796875" style="8" customWidth="1"/>
    <col min="7" max="7" width="12.09765625" style="8" bestFit="1" customWidth="1"/>
    <col min="8" max="9" width="12.19921875" style="8" bestFit="1" customWidth="1"/>
    <col min="10" max="10" width="8.796875" style="8"/>
    <col min="11" max="11" width="9.296875" style="8" bestFit="1" customWidth="1"/>
    <col min="12" max="12" width="9" style="8" bestFit="1" customWidth="1"/>
    <col min="13" max="16384" width="8.796875" style="8"/>
  </cols>
  <sheetData>
    <row r="2" spans="1:17">
      <c r="A2" s="8" t="s">
        <v>124</v>
      </c>
    </row>
    <row r="3" spans="1:17" ht="14.4" thickBot="1"/>
    <row r="4" spans="1:17" ht="14.4">
      <c r="A4" s="9" t="s">
        <v>125</v>
      </c>
      <c r="B4" s="9"/>
    </row>
    <row r="5" spans="1:17">
      <c r="A5" s="8" t="s">
        <v>126</v>
      </c>
      <c r="B5" s="8">
        <v>0.40895561021322352</v>
      </c>
    </row>
    <row r="6" spans="1:17">
      <c r="A6" s="8" t="s">
        <v>127</v>
      </c>
      <c r="B6" s="8">
        <v>0.16724469112487</v>
      </c>
    </row>
    <row r="7" spans="1:17">
      <c r="A7" s="8" t="s">
        <v>128</v>
      </c>
      <c r="B7" s="8">
        <v>0.16462596373847024</v>
      </c>
    </row>
    <row r="8" spans="1:17">
      <c r="A8" s="8" t="s">
        <v>129</v>
      </c>
      <c r="B8" s="8">
        <v>94846.03383215853</v>
      </c>
    </row>
    <row r="9" spans="1:17" ht="14.4" thickBot="1">
      <c r="A9" s="10" t="s">
        <v>130</v>
      </c>
      <c r="B9" s="10">
        <v>320</v>
      </c>
    </row>
    <row r="11" spans="1:17" ht="14.4" thickBot="1">
      <c r="A11" s="8" t="s">
        <v>131</v>
      </c>
      <c r="K11" s="8" t="str" cm="1">
        <f t="array" ref="K11:Q16">_xldudf_STAT_GLS_REGRESSION(B18,B19)</f>
        <v>parameter</v>
      </c>
      <c r="L11" s="8" t="str">
        <v>coefficient</v>
      </c>
      <c r="M11" s="8" t="str">
        <v>std_error</v>
      </c>
      <c r="N11" s="8" t="str">
        <v>t_statistic</v>
      </c>
      <c r="O11" s="8" t="str">
        <v>p_value</v>
      </c>
      <c r="P11" s="8" t="str">
        <v>ci_lower</v>
      </c>
      <c r="Q11" s="8" t="str">
        <v>ci_upper</v>
      </c>
    </row>
    <row r="12" spans="1:17" ht="14.4">
      <c r="A12" s="11"/>
      <c r="B12" s="11" t="s">
        <v>136</v>
      </c>
      <c r="C12" s="11" t="s">
        <v>137</v>
      </c>
      <c r="D12" s="11" t="s">
        <v>138</v>
      </c>
      <c r="E12" s="11" t="s">
        <v>139</v>
      </c>
      <c r="F12" s="11" t="s">
        <v>140</v>
      </c>
      <c r="K12" s="8" t="str">
        <v>intercept</v>
      </c>
      <c r="L12" s="8">
        <v>101313.11983160985</v>
      </c>
      <c r="M12" s="8" t="str">
        <v>NaN</v>
      </c>
      <c r="N12" s="8" t="str">
        <v>NaN</v>
      </c>
      <c r="O12" s="8" t="str">
        <v>NaN</v>
      </c>
      <c r="P12" s="8" t="str">
        <v>NaN</v>
      </c>
      <c r="Q12" s="8" t="str">
        <v>NaN</v>
      </c>
    </row>
    <row r="13" spans="1:17">
      <c r="A13" s="8" t="s">
        <v>132</v>
      </c>
      <c r="B13" s="8">
        <v>1</v>
      </c>
      <c r="C13" s="8">
        <v>574513714277.01416</v>
      </c>
      <c r="D13" s="8">
        <v>574513714277.01416</v>
      </c>
      <c r="E13" s="8">
        <v>63.864872683367629</v>
      </c>
      <c r="F13" s="8">
        <v>2.4800615101359619E-14</v>
      </c>
      <c r="K13" s="8" t="str">
        <v>x1</v>
      </c>
      <c r="L13" s="8">
        <v>215753.92035454823</v>
      </c>
      <c r="M13" s="8" t="str">
        <v>NaN</v>
      </c>
      <c r="N13" s="8" t="str">
        <v>NaN</v>
      </c>
      <c r="O13" s="8" t="str">
        <v>NaN</v>
      </c>
      <c r="P13" s="8" t="str">
        <v>NaN</v>
      </c>
      <c r="Q13" s="8" t="str">
        <v>NaN</v>
      </c>
    </row>
    <row r="14" spans="1:17">
      <c r="A14" s="8" t="s">
        <v>133</v>
      </c>
      <c r="B14" s="8">
        <v>318</v>
      </c>
      <c r="C14" s="8">
        <v>2860654902513.7251</v>
      </c>
      <c r="D14" s="8">
        <v>8995770133.6909599</v>
      </c>
      <c r="K14" s="8" t="str">
        <v>log_likelihood</v>
      </c>
      <c r="L14" s="8" t="str">
        <v>Infinity</v>
      </c>
      <c r="M14" s="8" t="str">
        <v/>
      </c>
      <c r="N14" s="8" t="str">
        <v/>
      </c>
      <c r="O14" s="8" t="str">
        <v/>
      </c>
      <c r="P14" s="8" t="str">
        <v/>
      </c>
      <c r="Q14" s="8" t="str">
        <v/>
      </c>
    </row>
    <row r="15" spans="1:17" ht="14.4" thickBot="1">
      <c r="A15" s="10" t="s">
        <v>134</v>
      </c>
      <c r="B15" s="10">
        <v>319</v>
      </c>
      <c r="C15" s="10">
        <v>3435168616790.7393</v>
      </c>
      <c r="D15" s="10"/>
      <c r="E15" s="10"/>
      <c r="F15" s="10"/>
      <c r="K15" s="8" t="str">
        <v>aic</v>
      </c>
      <c r="L15" s="8" t="str">
        <v>-Infinity</v>
      </c>
      <c r="M15" s="8" t="str">
        <v/>
      </c>
      <c r="N15" s="8" t="str">
        <v/>
      </c>
      <c r="O15" s="8" t="str">
        <v/>
      </c>
      <c r="P15" s="8" t="str">
        <v/>
      </c>
      <c r="Q15" s="8" t="str">
        <v/>
      </c>
    </row>
    <row r="16" spans="1:17" ht="14.4" thickBot="1">
      <c r="K16" s="8" t="str">
        <v>bic</v>
      </c>
      <c r="L16" s="8" t="str">
        <v>-Infinity</v>
      </c>
      <c r="M16" s="8" t="str">
        <v/>
      </c>
      <c r="N16" s="8" t="str">
        <v/>
      </c>
      <c r="O16" s="8" t="str">
        <v/>
      </c>
      <c r="P16" s="8" t="str">
        <v/>
      </c>
      <c r="Q16" s="8" t="str">
        <v/>
      </c>
    </row>
    <row r="17" spans="1:9" ht="14.4">
      <c r="A17" s="11"/>
      <c r="B17" s="11" t="s">
        <v>141</v>
      </c>
      <c r="C17" s="11" t="s">
        <v>129</v>
      </c>
      <c r="D17" s="11" t="s">
        <v>142</v>
      </c>
      <c r="E17" s="11" t="s">
        <v>143</v>
      </c>
      <c r="F17" s="11" t="s">
        <v>144</v>
      </c>
      <c r="G17" s="11" t="s">
        <v>145</v>
      </c>
      <c r="H17" s="11" t="s">
        <v>146</v>
      </c>
      <c r="I17" s="11" t="s">
        <v>147</v>
      </c>
    </row>
    <row r="18" spans="1:9">
      <c r="A18" s="8" t="s">
        <v>135</v>
      </c>
      <c r="B18" s="8">
        <v>560777.34544943704</v>
      </c>
      <c r="C18" s="8">
        <v>15906.905953068674</v>
      </c>
      <c r="D18" s="8">
        <v>35.253703460870398</v>
      </c>
      <c r="E18" s="8">
        <v>6.952876876284135E-112</v>
      </c>
      <c r="F18" s="8">
        <v>529481.27234763221</v>
      </c>
      <c r="G18" s="8">
        <v>592073.41855124186</v>
      </c>
      <c r="H18" s="8">
        <v>529481.27234763221</v>
      </c>
      <c r="I18" s="8">
        <v>592073.41855124186</v>
      </c>
    </row>
    <row r="19" spans="1:9" ht="14.4" thickBot="1">
      <c r="A19" s="10" t="s">
        <v>4</v>
      </c>
      <c r="B19" s="10">
        <v>2.1295753275898281</v>
      </c>
      <c r="C19" s="10">
        <v>0.26647838106932348</v>
      </c>
      <c r="D19" s="10">
        <v>7.991550080138869</v>
      </c>
      <c r="E19" s="10">
        <v>2.4800615101360068E-14</v>
      </c>
      <c r="F19" s="10">
        <v>1.6052919176921738</v>
      </c>
      <c r="G19" s="10">
        <v>2.6538587374874822</v>
      </c>
      <c r="H19" s="10">
        <v>1.6052919176921738</v>
      </c>
      <c r="I19" s="10">
        <v>2.6538587374874822</v>
      </c>
    </row>
    <row r="23" spans="1:9">
      <c r="A23" s="8" t="s">
        <v>148</v>
      </c>
    </row>
    <row r="24" spans="1:9" ht="14.4" thickBot="1"/>
    <row r="25" spans="1:9" ht="14.4">
      <c r="A25" s="11" t="s">
        <v>149</v>
      </c>
      <c r="B25" s="11" t="s">
        <v>150</v>
      </c>
      <c r="C25" s="11" t="s">
        <v>151</v>
      </c>
    </row>
    <row r="26" spans="1:9">
      <c r="A26" s="8">
        <v>1</v>
      </c>
      <c r="B26" s="8">
        <v>710676.25743644347</v>
      </c>
      <c r="C26" s="8">
        <v>-51843.637436443474</v>
      </c>
    </row>
    <row r="27" spans="1:9">
      <c r="A27" s="8">
        <v>2</v>
      </c>
      <c r="B27" s="8">
        <v>654112.13865375798</v>
      </c>
      <c r="C27" s="8">
        <v>-19676.138653757982</v>
      </c>
    </row>
    <row r="28" spans="1:9">
      <c r="A28" s="8">
        <v>3</v>
      </c>
      <c r="B28" s="8">
        <v>688385.22583544278</v>
      </c>
      <c r="C28" s="8">
        <v>-9663.16583544272</v>
      </c>
    </row>
    <row r="29" spans="1:9">
      <c r="A29" s="8">
        <v>4</v>
      </c>
      <c r="B29" s="8">
        <v>681857.82190734067</v>
      </c>
      <c r="C29" s="8">
        <v>-22937.521907340619</v>
      </c>
    </row>
    <row r="30" spans="1:9">
      <c r="A30" s="8">
        <v>5</v>
      </c>
      <c r="B30" s="8">
        <v>663875.7091369254</v>
      </c>
      <c r="C30" s="8">
        <v>77465.730863074539</v>
      </c>
    </row>
    <row r="31" spans="1:9">
      <c r="A31" s="8">
        <v>6</v>
      </c>
      <c r="B31" s="8">
        <v>698797.69921668014</v>
      </c>
      <c r="C31" s="8">
        <v>63037.640783319832</v>
      </c>
    </row>
    <row r="32" spans="1:9">
      <c r="A32" s="8">
        <v>7</v>
      </c>
      <c r="B32" s="8">
        <v>659192.36837224313</v>
      </c>
      <c r="C32" s="8">
        <v>147423.17162775691</v>
      </c>
    </row>
    <row r="33" spans="1:3">
      <c r="A33" s="8">
        <v>8</v>
      </c>
      <c r="B33" s="8">
        <v>705904.752253199</v>
      </c>
      <c r="C33" s="8">
        <v>144259.50774680101</v>
      </c>
    </row>
    <row r="34" spans="1:3">
      <c r="A34" s="8">
        <v>9</v>
      </c>
      <c r="B34" s="8">
        <v>713763.60926761688</v>
      </c>
      <c r="C34" s="8">
        <v>216818.09073238308</v>
      </c>
    </row>
    <row r="35" spans="1:3">
      <c r="A35" s="8">
        <v>10</v>
      </c>
      <c r="B35" s="8">
        <v>705872.63825725892</v>
      </c>
      <c r="C35" s="8">
        <v>73138.301742741023</v>
      </c>
    </row>
    <row r="36" spans="1:3">
      <c r="A36" s="8">
        <v>11</v>
      </c>
      <c r="B36" s="8">
        <v>633790.28276667313</v>
      </c>
      <c r="C36" s="8">
        <v>89270.477233326877</v>
      </c>
    </row>
    <row r="37" spans="1:3">
      <c r="A37" s="8">
        <v>12</v>
      </c>
      <c r="B37" s="8">
        <v>705545.62066995422</v>
      </c>
      <c r="C37" s="8">
        <v>205246.31933004572</v>
      </c>
    </row>
    <row r="38" spans="1:3">
      <c r="A38" s="8">
        <v>13</v>
      </c>
      <c r="B38" s="8">
        <v>713741.03576914431</v>
      </c>
      <c r="C38" s="8">
        <v>208427.56423085567</v>
      </c>
    </row>
    <row r="39" spans="1:3">
      <c r="A39" s="8">
        <v>14</v>
      </c>
      <c r="B39" s="8">
        <v>679430.51065320056</v>
      </c>
      <c r="C39" s="8">
        <v>47175.769346799469</v>
      </c>
    </row>
    <row r="40" spans="1:3">
      <c r="A40" s="8">
        <v>15</v>
      </c>
      <c r="B40" s="8">
        <v>688359.15983343311</v>
      </c>
      <c r="C40" s="8">
        <v>58141.930166566861</v>
      </c>
    </row>
    <row r="41" spans="1:3">
      <c r="A41" s="8">
        <v>16</v>
      </c>
      <c r="B41" s="8">
        <v>721146.52749207162</v>
      </c>
      <c r="C41" s="8">
        <v>112870.4925079284</v>
      </c>
    </row>
    <row r="42" spans="1:3">
      <c r="A42" s="8">
        <v>17</v>
      </c>
      <c r="B42" s="8">
        <v>664709.60824370314</v>
      </c>
      <c r="C42" s="8">
        <v>1442.911756296875</v>
      </c>
    </row>
    <row r="43" spans="1:3">
      <c r="A43" s="8">
        <v>18</v>
      </c>
      <c r="B43" s="8">
        <v>686673.36670835968</v>
      </c>
      <c r="C43" s="8">
        <v>-113518.17670835974</v>
      </c>
    </row>
    <row r="44" spans="1:3">
      <c r="A44" s="8">
        <v>19</v>
      </c>
      <c r="B44" s="8">
        <v>728654.1536477101</v>
      </c>
      <c r="C44" s="8">
        <v>-62080.95364771015</v>
      </c>
    </row>
    <row r="45" spans="1:3">
      <c r="A45" s="8">
        <v>20</v>
      </c>
      <c r="B45" s="8">
        <v>649031.05710514181</v>
      </c>
      <c r="C45" s="8">
        <v>-57411.107105141855</v>
      </c>
    </row>
    <row r="46" spans="1:3">
      <c r="A46" s="8">
        <v>21</v>
      </c>
      <c r="B46" s="8">
        <v>625423.33037484554</v>
      </c>
      <c r="C46" s="8">
        <v>-209701.51037484553</v>
      </c>
    </row>
    <row r="47" spans="1:3">
      <c r="A47" s="8">
        <v>22</v>
      </c>
      <c r="B47" s="8">
        <v>632158.32530588121</v>
      </c>
      <c r="C47" s="8">
        <v>-140253.19530588121</v>
      </c>
    </row>
    <row r="48" spans="1:3">
      <c r="A48" s="8">
        <v>23</v>
      </c>
      <c r="B48" s="8">
        <v>650788.89376354753</v>
      </c>
      <c r="C48" s="8">
        <v>-94859.493763547507</v>
      </c>
    </row>
    <row r="49" spans="1:3">
      <c r="A49" s="8">
        <v>24</v>
      </c>
      <c r="B49" s="8">
        <v>692939.7059970526</v>
      </c>
      <c r="C49" s="8">
        <v>-127128.71599705261</v>
      </c>
    </row>
    <row r="50" spans="1:3">
      <c r="A50" s="8">
        <v>25</v>
      </c>
      <c r="B50" s="8">
        <v>683646.79295703582</v>
      </c>
      <c r="C50" s="8">
        <v>128124.34704296419</v>
      </c>
    </row>
    <row r="51" spans="1:3">
      <c r="A51" s="8">
        <v>26</v>
      </c>
      <c r="B51" s="8">
        <v>927949.18293500762</v>
      </c>
      <c r="C51" s="8">
        <v>-127497.24293500767</v>
      </c>
    </row>
    <row r="52" spans="1:3">
      <c r="A52" s="8">
        <v>27</v>
      </c>
      <c r="B52" s="8">
        <v>678480.08118449722</v>
      </c>
      <c r="C52" s="8">
        <v>105192.73881550273</v>
      </c>
    </row>
    <row r="53" spans="1:3">
      <c r="A53" s="8">
        <v>28</v>
      </c>
      <c r="B53" s="8">
        <v>673038.12180086761</v>
      </c>
      <c r="C53" s="8">
        <v>28603.848199132364</v>
      </c>
    </row>
    <row r="54" spans="1:3">
      <c r="A54" s="8">
        <v>29</v>
      </c>
      <c r="B54" s="8">
        <v>706867.53325880237</v>
      </c>
      <c r="C54" s="8">
        <v>-195023.1232588024</v>
      </c>
    </row>
    <row r="55" spans="1:3">
      <c r="A55" s="8">
        <v>30</v>
      </c>
      <c r="B55" s="8">
        <v>695316.95093524118</v>
      </c>
      <c r="C55" s="8">
        <v>-157933.16093524115</v>
      </c>
    </row>
    <row r="56" spans="1:3">
      <c r="A56" s="8">
        <v>31</v>
      </c>
      <c r="B56" s="8">
        <v>656544.51829717786</v>
      </c>
      <c r="C56" s="8">
        <v>-156371.49829717784</v>
      </c>
    </row>
    <row r="57" spans="1:3">
      <c r="A57" s="8">
        <v>32</v>
      </c>
      <c r="B57" s="8">
        <v>709456.52187181311</v>
      </c>
      <c r="C57" s="8">
        <v>-281539.1418718131</v>
      </c>
    </row>
    <row r="58" spans="1:3">
      <c r="A58" s="8">
        <v>33</v>
      </c>
      <c r="B58" s="8">
        <v>677047.53715738084</v>
      </c>
      <c r="C58" s="8">
        <v>-35182.507157380809</v>
      </c>
    </row>
    <row r="59" spans="1:3">
      <c r="A59" s="8">
        <v>34</v>
      </c>
      <c r="B59" s="8">
        <v>717880.18485461432</v>
      </c>
      <c r="C59" s="8">
        <v>81597.575145385694</v>
      </c>
    </row>
    <row r="60" spans="1:3">
      <c r="A60" s="8">
        <v>35</v>
      </c>
      <c r="B60" s="8">
        <v>719247.30832766718</v>
      </c>
      <c r="C60" s="8">
        <v>79704.86167233286</v>
      </c>
    </row>
    <row r="61" spans="1:3">
      <c r="A61" s="8">
        <v>36</v>
      </c>
      <c r="B61" s="8">
        <v>672545.48714033619</v>
      </c>
      <c r="C61" s="8">
        <v>128434.29285966384</v>
      </c>
    </row>
    <row r="62" spans="1:3">
      <c r="A62" s="8">
        <v>37</v>
      </c>
      <c r="B62" s="8">
        <v>721070.20351233077</v>
      </c>
      <c r="C62" s="8">
        <v>99523.726487669279</v>
      </c>
    </row>
    <row r="63" spans="1:3">
      <c r="A63" s="8">
        <v>38</v>
      </c>
      <c r="B63" s="8">
        <v>691204.05951356038</v>
      </c>
      <c r="C63" s="8">
        <v>27126.470486439648</v>
      </c>
    </row>
    <row r="64" spans="1:3">
      <c r="A64" s="8">
        <v>39</v>
      </c>
      <c r="B64" s="8">
        <v>759639.77280468796</v>
      </c>
      <c r="C64" s="8">
        <v>-23006.372804687941</v>
      </c>
    </row>
    <row r="65" spans="1:3">
      <c r="A65" s="8">
        <v>40</v>
      </c>
      <c r="B65" s="8">
        <v>699225.70126601914</v>
      </c>
      <c r="C65" s="8">
        <v>129398.14873398084</v>
      </c>
    </row>
    <row r="66" spans="1:3">
      <c r="A66" s="8">
        <v>41</v>
      </c>
      <c r="B66" s="8">
        <v>646946.22415518458</v>
      </c>
      <c r="C66" s="8">
        <v>-54750.374155184603</v>
      </c>
    </row>
    <row r="67" spans="1:3">
      <c r="A67" s="8">
        <v>42</v>
      </c>
      <c r="B67" s="8">
        <v>659001.622310151</v>
      </c>
      <c r="C67" s="8">
        <v>-126357.16231015103</v>
      </c>
    </row>
    <row r="68" spans="1:3">
      <c r="A68" s="8">
        <v>43</v>
      </c>
      <c r="B68" s="8">
        <v>705753.59499644663</v>
      </c>
      <c r="C68" s="8">
        <v>-48324.414996446576</v>
      </c>
    </row>
    <row r="69" spans="1:3">
      <c r="A69" s="8">
        <v>44</v>
      </c>
      <c r="B69" s="8">
        <v>698948.74999466608</v>
      </c>
      <c r="C69" s="8">
        <v>-93770.749994666083</v>
      </c>
    </row>
    <row r="70" spans="1:3">
      <c r="A70" s="8">
        <v>45</v>
      </c>
      <c r="B70" s="8">
        <v>856480.61364533973</v>
      </c>
      <c r="C70" s="8">
        <v>-261013.01364533976</v>
      </c>
    </row>
    <row r="71" spans="1:3">
      <c r="A71" s="8">
        <v>46</v>
      </c>
      <c r="B71" s="8">
        <v>696282.67075479659</v>
      </c>
      <c r="C71" s="8">
        <v>-96679.270754796569</v>
      </c>
    </row>
    <row r="72" spans="1:3">
      <c r="A72" s="8">
        <v>47</v>
      </c>
      <c r="B72" s="8">
        <v>667349.06779197778</v>
      </c>
      <c r="C72" s="8">
        <v>-52548.977791977813</v>
      </c>
    </row>
    <row r="73" spans="1:3">
      <c r="A73" s="8">
        <v>48</v>
      </c>
      <c r="B73" s="8">
        <v>650419.3485569508</v>
      </c>
      <c r="C73" s="8">
        <v>-65053.618556950823</v>
      </c>
    </row>
    <row r="74" spans="1:3">
      <c r="A74" s="8">
        <v>49</v>
      </c>
      <c r="B74" s="8">
        <v>660066.77200175158</v>
      </c>
      <c r="C74" s="8">
        <v>-37255.032001751591</v>
      </c>
    </row>
    <row r="75" spans="1:3">
      <c r="A75" s="8">
        <v>50</v>
      </c>
      <c r="B75" s="8">
        <v>666639.15256077237</v>
      </c>
      <c r="C75" s="8">
        <v>-63341.582560772425</v>
      </c>
    </row>
    <row r="76" spans="1:3">
      <c r="A76" s="8">
        <v>51</v>
      </c>
      <c r="B76" s="8">
        <v>663609.95943179552</v>
      </c>
      <c r="C76" s="8">
        <v>-37937.099431795534</v>
      </c>
    </row>
    <row r="77" spans="1:3">
      <c r="A77" s="8">
        <v>52</v>
      </c>
      <c r="B77" s="8">
        <v>699865.21273689438</v>
      </c>
      <c r="C77" s="8">
        <v>73949.927263105637</v>
      </c>
    </row>
    <row r="78" spans="1:3">
      <c r="A78" s="8">
        <v>53</v>
      </c>
      <c r="B78" s="8">
        <v>673677.76104626246</v>
      </c>
      <c r="C78" s="8">
        <v>-210143.51104626246</v>
      </c>
    </row>
    <row r="79" spans="1:3">
      <c r="A79" s="8">
        <v>54</v>
      </c>
      <c r="B79" s="8">
        <v>773466.57301289681</v>
      </c>
      <c r="C79" s="8">
        <v>-26788.823012896813</v>
      </c>
    </row>
    <row r="80" spans="1:3">
      <c r="A80" s="8">
        <v>55</v>
      </c>
      <c r="B80" s="8">
        <v>733689.27896075696</v>
      </c>
      <c r="C80" s="8">
        <v>-12836.778960756958</v>
      </c>
    </row>
    <row r="81" spans="1:3">
      <c r="A81" s="8">
        <v>56</v>
      </c>
      <c r="B81" s="8">
        <v>619997.85390425147</v>
      </c>
      <c r="C81" s="8">
        <v>-132532.9439042515</v>
      </c>
    </row>
    <row r="82" spans="1:3">
      <c r="A82" s="8">
        <v>57</v>
      </c>
      <c r="B82" s="8">
        <v>602016.69944273378</v>
      </c>
      <c r="C82" s="8">
        <v>-83967.439442733768</v>
      </c>
    </row>
    <row r="83" spans="1:3">
      <c r="A83" s="8">
        <v>58</v>
      </c>
      <c r="B83" s="8">
        <v>687286.21589613357</v>
      </c>
      <c r="C83" s="8">
        <v>-186987.73589613358</v>
      </c>
    </row>
    <row r="84" spans="1:3">
      <c r="A84" s="8">
        <v>59</v>
      </c>
      <c r="B84" s="8">
        <v>814006.16984930076</v>
      </c>
      <c r="C84" s="8">
        <v>-196715.01984930073</v>
      </c>
    </row>
    <row r="85" spans="1:3">
      <c r="A85" s="8">
        <v>60</v>
      </c>
      <c r="B85" s="8">
        <v>673542.87374501291</v>
      </c>
      <c r="C85" s="8">
        <v>-119786.44374501286</v>
      </c>
    </row>
    <row r="86" spans="1:3">
      <c r="A86" s="8">
        <v>61</v>
      </c>
      <c r="B86" s="8">
        <v>720299.53149702935</v>
      </c>
      <c r="C86" s="8">
        <v>29260.178502970608</v>
      </c>
    </row>
    <row r="87" spans="1:3">
      <c r="A87" s="8">
        <v>62</v>
      </c>
      <c r="B87" s="8">
        <v>640177.83748301235</v>
      </c>
      <c r="C87" s="8">
        <v>-24211.357483012369</v>
      </c>
    </row>
    <row r="88" spans="1:3">
      <c r="A88" s="8">
        <v>63</v>
      </c>
      <c r="B88" s="8">
        <v>667986.96078560397</v>
      </c>
      <c r="C88" s="8">
        <v>-95975.760785604012</v>
      </c>
    </row>
    <row r="89" spans="1:3">
      <c r="A89" s="8">
        <v>64</v>
      </c>
      <c r="B89" s="8">
        <v>720398.53545400896</v>
      </c>
      <c r="C89" s="8">
        <v>41461.654545990983</v>
      </c>
    </row>
    <row r="90" spans="1:3">
      <c r="A90" s="8">
        <v>65</v>
      </c>
      <c r="B90" s="8">
        <v>709933.46156218019</v>
      </c>
      <c r="C90" s="8">
        <v>74569.218437819858</v>
      </c>
    </row>
    <row r="91" spans="1:3">
      <c r="A91" s="8">
        <v>66</v>
      </c>
      <c r="B91" s="8">
        <v>669702.33371197758</v>
      </c>
      <c r="C91" s="8">
        <v>47439.216288022464</v>
      </c>
    </row>
    <row r="92" spans="1:3">
      <c r="A92" s="8">
        <v>67</v>
      </c>
      <c r="B92" s="8">
        <v>729750.84234991227</v>
      </c>
      <c r="C92" s="8">
        <v>-44371.762349912315</v>
      </c>
    </row>
    <row r="93" spans="1:3">
      <c r="A93" s="8">
        <v>68</v>
      </c>
      <c r="B93" s="8">
        <v>650258.69339423743</v>
      </c>
      <c r="C93" s="8">
        <v>90237.956605762593</v>
      </c>
    </row>
    <row r="94" spans="1:3">
      <c r="A94" s="8">
        <v>69</v>
      </c>
      <c r="B94" s="8">
        <v>711843.54156075534</v>
      </c>
      <c r="C94" s="8">
        <v>-49916.40156075533</v>
      </c>
    </row>
    <row r="95" spans="1:3">
      <c r="A95" s="8">
        <v>70</v>
      </c>
      <c r="B95" s="8">
        <v>639174.36029289884</v>
      </c>
      <c r="C95" s="8">
        <v>-160123.86029289884</v>
      </c>
    </row>
    <row r="96" spans="1:3">
      <c r="A96" s="8">
        <v>71</v>
      </c>
      <c r="B96" s="8">
        <v>689769.5988686491</v>
      </c>
      <c r="C96" s="8">
        <v>-84745.728868649108</v>
      </c>
    </row>
    <row r="97" spans="1:3">
      <c r="A97" s="8">
        <v>72</v>
      </c>
      <c r="B97" s="8">
        <v>678076.82480046479</v>
      </c>
      <c r="C97" s="8">
        <v>-3302.7348004648229</v>
      </c>
    </row>
    <row r="98" spans="1:3">
      <c r="A98" s="8">
        <v>73</v>
      </c>
      <c r="B98" s="8">
        <v>659166.83476406534</v>
      </c>
      <c r="C98" s="8">
        <v>-43097.424764065305</v>
      </c>
    </row>
    <row r="99" spans="1:3">
      <c r="A99" s="8">
        <v>74</v>
      </c>
      <c r="B99" s="8">
        <v>675269.53342062281</v>
      </c>
      <c r="C99" s="8">
        <v>-44439.59342062287</v>
      </c>
    </row>
    <row r="100" spans="1:3">
      <c r="A100" s="8">
        <v>75</v>
      </c>
      <c r="B100" s="8">
        <v>710155.93829665345</v>
      </c>
      <c r="C100" s="8">
        <v>77931.741703346604</v>
      </c>
    </row>
    <row r="101" spans="1:3">
      <c r="A101" s="8">
        <v>76</v>
      </c>
      <c r="B101" s="8">
        <v>685889.10800246825</v>
      </c>
      <c r="C101" s="8">
        <v>-5048.7480024682591</v>
      </c>
    </row>
    <row r="102" spans="1:3">
      <c r="A102" s="8">
        <v>77</v>
      </c>
      <c r="B102" s="8">
        <v>682106.02391177125</v>
      </c>
      <c r="C102" s="8">
        <v>-38448.553911771276</v>
      </c>
    </row>
    <row r="103" spans="1:3">
      <c r="A103" s="8">
        <v>78</v>
      </c>
      <c r="B103" s="8">
        <v>677633.14907671465</v>
      </c>
      <c r="C103" s="8">
        <v>13479.450923285331</v>
      </c>
    </row>
    <row r="104" spans="1:3">
      <c r="A104" s="8">
        <v>79</v>
      </c>
      <c r="B104" s="8">
        <v>732341.91794674413</v>
      </c>
      <c r="C104" s="8">
        <v>44580.252053255914</v>
      </c>
    </row>
    <row r="105" spans="1:3">
      <c r="A105" s="8">
        <v>80</v>
      </c>
      <c r="B105" s="8">
        <v>726884.00804391084</v>
      </c>
      <c r="C105" s="8">
        <v>-90322.668043910875</v>
      </c>
    </row>
    <row r="106" spans="1:3">
      <c r="A106" s="8">
        <v>81</v>
      </c>
      <c r="B106" s="8">
        <v>690428.04226418666</v>
      </c>
      <c r="C106" s="8">
        <v>-69058.462264186703</v>
      </c>
    </row>
    <row r="107" spans="1:3">
      <c r="A107" s="8">
        <v>82</v>
      </c>
      <c r="B107" s="8">
        <v>689890.04764917761</v>
      </c>
      <c r="C107" s="8">
        <v>-7682.0376491775969</v>
      </c>
    </row>
    <row r="108" spans="1:3">
      <c r="A108" s="8">
        <v>83</v>
      </c>
      <c r="B108" s="8">
        <v>715663.78674091864</v>
      </c>
      <c r="C108" s="8">
        <v>11578.073259081342</v>
      </c>
    </row>
    <row r="109" spans="1:3">
      <c r="A109" s="8">
        <v>84</v>
      </c>
      <c r="B109" s="8">
        <v>638455.11752175866</v>
      </c>
      <c r="C109" s="8">
        <v>-69354.337521758629</v>
      </c>
    </row>
    <row r="110" spans="1:3">
      <c r="A110" s="8">
        <v>85</v>
      </c>
      <c r="B110" s="8">
        <v>678730.49794726842</v>
      </c>
      <c r="C110" s="8">
        <v>-104294.20794726838</v>
      </c>
    </row>
    <row r="111" spans="1:3">
      <c r="A111" s="8">
        <v>86</v>
      </c>
      <c r="B111" s="8">
        <v>749125.01592046651</v>
      </c>
      <c r="C111" s="8">
        <v>-137358.29592046654</v>
      </c>
    </row>
    <row r="112" spans="1:3">
      <c r="A112" s="8">
        <v>87</v>
      </c>
      <c r="B112" s="8">
        <v>727378.09081566497</v>
      </c>
      <c r="C112" s="8">
        <v>-112781.77081566502</v>
      </c>
    </row>
    <row r="113" spans="1:3">
      <c r="A113" s="8">
        <v>88</v>
      </c>
      <c r="B113" s="8">
        <v>601231.43983643828</v>
      </c>
      <c r="C113" s="8">
        <v>-150519.5198364383</v>
      </c>
    </row>
    <row r="114" spans="1:3">
      <c r="A114" s="8">
        <v>89</v>
      </c>
      <c r="B114" s="8">
        <v>668359.10407410027</v>
      </c>
      <c r="C114" s="8">
        <v>42854.355925899697</v>
      </c>
    </row>
    <row r="115" spans="1:3">
      <c r="A115" s="8">
        <v>90</v>
      </c>
      <c r="B115" s="8">
        <v>862198.05489334627</v>
      </c>
      <c r="C115" s="8">
        <v>-235026.15489334625</v>
      </c>
    </row>
    <row r="116" spans="1:3">
      <c r="A116" s="8">
        <v>91</v>
      </c>
      <c r="B116" s="8">
        <v>735649.95766911563</v>
      </c>
      <c r="C116" s="8">
        <v>4202.6223308843328</v>
      </c>
    </row>
    <row r="117" spans="1:3">
      <c r="A117" s="8">
        <v>92</v>
      </c>
      <c r="B117" s="8">
        <v>627236.08878094982</v>
      </c>
      <c r="C117" s="8">
        <v>-40928.868780949851</v>
      </c>
    </row>
    <row r="118" spans="1:3">
      <c r="A118" s="8">
        <v>93</v>
      </c>
      <c r="B118" s="8">
        <v>643759.63411374553</v>
      </c>
      <c r="C118" s="8">
        <v>-57822.15411374555</v>
      </c>
    </row>
    <row r="119" spans="1:3">
      <c r="A119" s="8">
        <v>94</v>
      </c>
      <c r="B119" s="8">
        <v>704394.41483936575</v>
      </c>
      <c r="C119" s="8">
        <v>49079.135160634294</v>
      </c>
    </row>
    <row r="120" spans="1:3">
      <c r="A120" s="8">
        <v>95</v>
      </c>
      <c r="B120" s="8">
        <v>744819.24886136584</v>
      </c>
      <c r="C120" s="8">
        <v>93431.071138634114</v>
      </c>
    </row>
    <row r="121" spans="1:3">
      <c r="A121" s="8">
        <v>96</v>
      </c>
      <c r="B121" s="8">
        <v>581082.10084664135</v>
      </c>
      <c r="C121" s="8">
        <v>26816.019153358648</v>
      </c>
    </row>
    <row r="122" spans="1:3">
      <c r="A122" s="8">
        <v>97</v>
      </c>
      <c r="B122" s="8">
        <v>690962.69344593131</v>
      </c>
      <c r="C122" s="8">
        <v>150.92655406869017</v>
      </c>
    </row>
    <row r="123" spans="1:3">
      <c r="A123" s="8">
        <v>98</v>
      </c>
      <c r="B123" s="8">
        <v>728671.76523566921</v>
      </c>
      <c r="C123" s="8">
        <v>6837.6347643308109</v>
      </c>
    </row>
    <row r="124" spans="1:3">
      <c r="A124" s="8">
        <v>99</v>
      </c>
      <c r="B124" s="8">
        <v>643304.35220446019</v>
      </c>
      <c r="C124" s="8">
        <v>-37529.022204460227</v>
      </c>
    </row>
    <row r="125" spans="1:3">
      <c r="A125" s="8">
        <v>100</v>
      </c>
      <c r="B125" s="8">
        <v>678119.2885324969</v>
      </c>
      <c r="C125" s="8">
        <v>-2941.6085324968444</v>
      </c>
    </row>
    <row r="126" spans="1:3">
      <c r="A126" s="8">
        <v>101</v>
      </c>
      <c r="B126" s="8">
        <v>673825.3406164645</v>
      </c>
      <c r="C126" s="8">
        <v>-38643.990616464522</v>
      </c>
    </row>
    <row r="127" spans="1:3">
      <c r="A127" s="8">
        <v>102</v>
      </c>
      <c r="B127" s="8">
        <v>695156.93464512611</v>
      </c>
      <c r="C127" s="8">
        <v>-108529.99464512616</v>
      </c>
    </row>
    <row r="128" spans="1:3">
      <c r="A128" s="8">
        <v>103</v>
      </c>
      <c r="B128" s="8">
        <v>752618.8610901701</v>
      </c>
      <c r="C128" s="8">
        <v>-12516.221090170089</v>
      </c>
    </row>
    <row r="129" spans="1:3">
      <c r="A129" s="8">
        <v>104</v>
      </c>
      <c r="B129" s="8">
        <v>629491.58589766012</v>
      </c>
      <c r="C129" s="8">
        <v>-3977.5458976600785</v>
      </c>
    </row>
    <row r="130" spans="1:3">
      <c r="A130" s="8">
        <v>105</v>
      </c>
      <c r="B130" s="8">
        <v>684120.36791838519</v>
      </c>
      <c r="C130" s="8">
        <v>43106.832081614761</v>
      </c>
    </row>
    <row r="131" spans="1:3">
      <c r="A131" s="8">
        <v>106</v>
      </c>
      <c r="B131" s="8">
        <v>719812.6466898825</v>
      </c>
      <c r="C131" s="8">
        <v>63985.243310117512</v>
      </c>
    </row>
    <row r="132" spans="1:3">
      <c r="A132" s="8">
        <v>107</v>
      </c>
      <c r="B132" s="8">
        <v>697696.75136382284</v>
      </c>
      <c r="C132" s="8">
        <v>97457.088636177126</v>
      </c>
    </row>
    <row r="133" spans="1:3">
      <c r="A133" s="8">
        <v>108</v>
      </c>
      <c r="B133" s="8">
        <v>626883.68665574025</v>
      </c>
      <c r="C133" s="8">
        <v>38711.25334425969</v>
      </c>
    </row>
    <row r="134" spans="1:3">
      <c r="A134" s="8">
        <v>109</v>
      </c>
      <c r="B134" s="8">
        <v>721059.87507199205</v>
      </c>
      <c r="C134" s="8">
        <v>-11581.485071992036</v>
      </c>
    </row>
    <row r="135" spans="1:3">
      <c r="A135" s="8">
        <v>110</v>
      </c>
      <c r="B135" s="8">
        <v>708594.78921550396</v>
      </c>
      <c r="C135" s="8">
        <v>-44432.299215503968</v>
      </c>
    </row>
    <row r="136" spans="1:3">
      <c r="A136" s="8">
        <v>111</v>
      </c>
      <c r="B136" s="8">
        <v>669505.26281116251</v>
      </c>
      <c r="C136" s="8">
        <v>-36011.052811162546</v>
      </c>
    </row>
    <row r="137" spans="1:3">
      <c r="A137" s="8">
        <v>112</v>
      </c>
      <c r="B137" s="8">
        <v>673129.50187817449</v>
      </c>
      <c r="C137" s="8">
        <v>40481.658121825545</v>
      </c>
    </row>
    <row r="138" spans="1:3">
      <c r="A138" s="8">
        <v>113</v>
      </c>
      <c r="B138" s="8">
        <v>691588.72470498295</v>
      </c>
      <c r="C138" s="8">
        <v>86809.245295017026</v>
      </c>
    </row>
    <row r="139" spans="1:3">
      <c r="A139" s="8">
        <v>114</v>
      </c>
      <c r="B139" s="8">
        <v>731518.90096989041</v>
      </c>
      <c r="C139" s="8">
        <v>141861.11903010961</v>
      </c>
    </row>
    <row r="140" spans="1:3">
      <c r="A140" s="8">
        <v>115</v>
      </c>
      <c r="B140" s="8">
        <v>632342.10765665222</v>
      </c>
      <c r="C140" s="8">
        <v>64945.792343347799</v>
      </c>
    </row>
    <row r="141" spans="1:3">
      <c r="A141" s="8">
        <v>116</v>
      </c>
      <c r="B141" s="8">
        <v>616126.15818417352</v>
      </c>
      <c r="C141" s="8">
        <v>101948.63181582652</v>
      </c>
    </row>
    <row r="142" spans="1:3">
      <c r="A142" s="8">
        <v>117</v>
      </c>
      <c r="B142" s="8">
        <v>653808.1417757445</v>
      </c>
      <c r="C142" s="8">
        <v>61134.28822425555</v>
      </c>
    </row>
    <row r="143" spans="1:3">
      <c r="A143" s="8">
        <v>118</v>
      </c>
      <c r="B143" s="8">
        <v>682929.80753574288</v>
      </c>
      <c r="C143" s="8">
        <v>137589.23246425716</v>
      </c>
    </row>
    <row r="144" spans="1:3">
      <c r="A144" s="8">
        <v>119</v>
      </c>
      <c r="B144" s="8">
        <v>651104.2838695636</v>
      </c>
      <c r="C144" s="8">
        <v>33113.036130436347</v>
      </c>
    </row>
    <row r="145" spans="1:3">
      <c r="A145" s="8">
        <v>120</v>
      </c>
      <c r="B145" s="8">
        <v>677837.92904021579</v>
      </c>
      <c r="C145" s="8">
        <v>57642.260959784151</v>
      </c>
    </row>
    <row r="146" spans="1:3">
      <c r="A146" s="8">
        <v>121</v>
      </c>
      <c r="B146" s="8">
        <v>654257.46087411267</v>
      </c>
      <c r="C146" s="8">
        <v>-144772.65087411267</v>
      </c>
    </row>
    <row r="147" spans="1:3">
      <c r="A147" s="8">
        <v>122</v>
      </c>
      <c r="B147" s="8">
        <v>737626.1609816124</v>
      </c>
      <c r="C147" s="8">
        <v>-83309.070981612429</v>
      </c>
    </row>
    <row r="148" spans="1:3">
      <c r="A148" s="8">
        <v>123</v>
      </c>
      <c r="B148" s="8">
        <v>663840.54984826688</v>
      </c>
      <c r="C148" s="8">
        <v>-106353.28984826687</v>
      </c>
    </row>
    <row r="149" spans="1:3">
      <c r="A149" s="8">
        <v>124</v>
      </c>
      <c r="B149" s="8">
        <v>601374.46211543912</v>
      </c>
      <c r="C149" s="8">
        <v>-160099.04211543914</v>
      </c>
    </row>
    <row r="150" spans="1:3">
      <c r="A150" s="8">
        <v>125</v>
      </c>
      <c r="B150" s="8">
        <v>691833.9878954615</v>
      </c>
      <c r="C150" s="8">
        <v>222710.18210453854</v>
      </c>
    </row>
    <row r="151" spans="1:3">
      <c r="A151" s="8">
        <v>126</v>
      </c>
      <c r="B151" s="8">
        <v>656069.45263309905</v>
      </c>
      <c r="C151" s="8">
        <v>186370.21736690099</v>
      </c>
    </row>
    <row r="152" spans="1:3">
      <c r="A152" s="8">
        <v>127</v>
      </c>
      <c r="B152" s="8">
        <v>681136.47085662617</v>
      </c>
      <c r="C152" s="8">
        <v>161021.44914337387</v>
      </c>
    </row>
    <row r="153" spans="1:3">
      <c r="A153" s="8">
        <v>128</v>
      </c>
      <c r="B153" s="8">
        <v>641335.98572916887</v>
      </c>
      <c r="C153" s="8">
        <v>55819.314270831179</v>
      </c>
    </row>
    <row r="154" spans="1:3">
      <c r="A154" s="8">
        <v>129</v>
      </c>
      <c r="B154" s="8">
        <v>701862.83957718674</v>
      </c>
      <c r="C154" s="8">
        <v>147155.46042281331</v>
      </c>
    </row>
    <row r="155" spans="1:3">
      <c r="A155" s="8">
        <v>130</v>
      </c>
      <c r="B155" s="8">
        <v>706463.57411491184</v>
      </c>
      <c r="C155" s="8">
        <v>95366.775885088136</v>
      </c>
    </row>
    <row r="156" spans="1:3">
      <c r="A156" s="8">
        <v>131</v>
      </c>
      <c r="B156" s="8">
        <v>668822.69132716337</v>
      </c>
      <c r="C156" s="8">
        <v>56412.58867283666</v>
      </c>
    </row>
    <row r="157" spans="1:3">
      <c r="A157" s="8">
        <v>132</v>
      </c>
      <c r="B157" s="8">
        <v>702299.9775046811</v>
      </c>
      <c r="C157" s="8">
        <v>109152.74249531887</v>
      </c>
    </row>
    <row r="158" spans="1:3">
      <c r="A158" s="8">
        <v>133</v>
      </c>
      <c r="B158" s="8">
        <v>710435.97745223157</v>
      </c>
      <c r="C158" s="8">
        <v>-183135.84745223157</v>
      </c>
    </row>
    <row r="159" spans="1:3">
      <c r="A159" s="8">
        <v>134</v>
      </c>
      <c r="B159" s="8">
        <v>607780.56543288182</v>
      </c>
      <c r="C159" s="8">
        <v>-206948.9154328818</v>
      </c>
    </row>
    <row r="160" spans="1:3">
      <c r="A160" s="8">
        <v>135</v>
      </c>
      <c r="B160" s="8">
        <v>672123.14976136864</v>
      </c>
      <c r="C160" s="8">
        <v>-78875.899761368637</v>
      </c>
    </row>
    <row r="161" spans="1:3">
      <c r="A161" s="8">
        <v>136</v>
      </c>
      <c r="B161" s="8">
        <v>710628.66142787179</v>
      </c>
      <c r="C161" s="8">
        <v>-181552.71142787184</v>
      </c>
    </row>
    <row r="162" spans="1:3">
      <c r="A162" s="8">
        <v>137</v>
      </c>
      <c r="B162" s="8">
        <v>712660.06333285978</v>
      </c>
      <c r="C162" s="8">
        <v>-79022.033332859748</v>
      </c>
    </row>
    <row r="163" spans="1:3">
      <c r="A163" s="8">
        <v>138</v>
      </c>
      <c r="B163" s="8">
        <v>720729.04554485087</v>
      </c>
      <c r="C163" s="8">
        <v>22619.794455149095</v>
      </c>
    </row>
    <row r="164" spans="1:3">
      <c r="A164" s="8">
        <v>139</v>
      </c>
      <c r="B164" s="8">
        <v>709376.9822333277</v>
      </c>
      <c r="C164" s="8">
        <v>49450.657766672317</v>
      </c>
    </row>
    <row r="165" spans="1:3">
      <c r="A165" s="8">
        <v>140</v>
      </c>
      <c r="B165" s="8">
        <v>654930.02335407212</v>
      </c>
      <c r="C165" s="8">
        <v>-8370.313354072161</v>
      </c>
    </row>
    <row r="166" spans="1:3">
      <c r="A166" s="8">
        <v>141</v>
      </c>
      <c r="B166" s="8">
        <v>670302.0647157334</v>
      </c>
      <c r="C166" s="8">
        <v>45588.465284266626</v>
      </c>
    </row>
    <row r="167" spans="1:3">
      <c r="A167" s="8">
        <v>142</v>
      </c>
      <c r="B167" s="8">
        <v>658112.75886416819</v>
      </c>
      <c r="C167" s="8">
        <v>56984.811135831755</v>
      </c>
    </row>
    <row r="168" spans="1:3">
      <c r="A168" s="8">
        <v>143</v>
      </c>
      <c r="B168" s="8">
        <v>654552.3431697241</v>
      </c>
      <c r="C168" s="8">
        <v>28086.936830275925</v>
      </c>
    </row>
    <row r="169" spans="1:3">
      <c r="A169" s="8">
        <v>144</v>
      </c>
      <c r="B169" s="8">
        <v>667678.02329283056</v>
      </c>
      <c r="C169" s="8">
        <v>27420.486707169446</v>
      </c>
    </row>
    <row r="170" spans="1:3">
      <c r="A170" s="8">
        <v>145</v>
      </c>
      <c r="B170" s="8">
        <v>710887.27705565433</v>
      </c>
      <c r="C170" s="8">
        <v>-133154.70705565438</v>
      </c>
    </row>
    <row r="171" spans="1:3">
      <c r="A171" s="8">
        <v>146</v>
      </c>
      <c r="B171" s="8">
        <v>669192.47078704601</v>
      </c>
      <c r="C171" s="8">
        <v>-132134.14078704605</v>
      </c>
    </row>
    <row r="172" spans="1:3">
      <c r="A172" s="8">
        <v>147</v>
      </c>
      <c r="B172" s="8">
        <v>674393.80945441127</v>
      </c>
      <c r="C172" s="8">
        <v>-72824.939454411273</v>
      </c>
    </row>
    <row r="173" spans="1:3">
      <c r="A173" s="8">
        <v>148</v>
      </c>
      <c r="B173" s="8">
        <v>689238.44019044167</v>
      </c>
      <c r="C173" s="8">
        <v>-118273.60019044171</v>
      </c>
    </row>
    <row r="174" spans="1:3">
      <c r="A174" s="8">
        <v>149</v>
      </c>
      <c r="B174" s="8">
        <v>670611.64108110522</v>
      </c>
      <c r="C174" s="8">
        <v>-56586.731081105187</v>
      </c>
    </row>
    <row r="175" spans="1:3">
      <c r="A175" s="8">
        <v>150</v>
      </c>
      <c r="B175" s="8">
        <v>653030.42086610873</v>
      </c>
      <c r="C175" s="8">
        <v>59837.929133891244</v>
      </c>
    </row>
    <row r="176" spans="1:3">
      <c r="A176" s="8">
        <v>151</v>
      </c>
      <c r="B176" s="8">
        <v>661066.60761805496</v>
      </c>
      <c r="C176" s="8">
        <v>35677.542381945066</v>
      </c>
    </row>
    <row r="177" spans="1:3">
      <c r="A177" s="8">
        <v>152</v>
      </c>
      <c r="B177" s="8">
        <v>713798.17227518361</v>
      </c>
      <c r="C177" s="8">
        <v>12049.817724816385</v>
      </c>
    </row>
    <row r="178" spans="1:3">
      <c r="A178" s="8">
        <v>153</v>
      </c>
      <c r="B178" s="8">
        <v>721869.56090729497</v>
      </c>
      <c r="C178" s="8">
        <v>63158.689092705026</v>
      </c>
    </row>
    <row r="179" spans="1:3">
      <c r="A179" s="8">
        <v>154</v>
      </c>
      <c r="B179" s="8">
        <v>697868.22476920031</v>
      </c>
      <c r="C179" s="8">
        <v>624.44523079972714</v>
      </c>
    </row>
    <row r="180" spans="1:3">
      <c r="A180" s="8">
        <v>155</v>
      </c>
      <c r="B180" s="8">
        <v>691605.33539253811</v>
      </c>
      <c r="C180" s="8">
        <v>-5775.0953925381182</v>
      </c>
    </row>
    <row r="181" spans="1:3">
      <c r="A181" s="8">
        <v>156</v>
      </c>
      <c r="B181" s="8">
        <v>651706.25092741335</v>
      </c>
      <c r="C181" s="8">
        <v>50612.689072586596</v>
      </c>
    </row>
    <row r="182" spans="1:3">
      <c r="A182" s="8">
        <v>157</v>
      </c>
      <c r="B182" s="8">
        <v>745801.89880477567</v>
      </c>
      <c r="C182" s="8">
        <v>-45723.578804775723</v>
      </c>
    </row>
    <row r="183" spans="1:3">
      <c r="A183" s="8">
        <v>158</v>
      </c>
      <c r="B183" s="8">
        <v>649927.92775435618</v>
      </c>
      <c r="C183" s="8">
        <v>-47925.607754356228</v>
      </c>
    </row>
    <row r="184" spans="1:3">
      <c r="A184" s="8">
        <v>159</v>
      </c>
      <c r="B184" s="8">
        <v>681988.85467724735</v>
      </c>
      <c r="C184" s="8">
        <v>42227.2153227526</v>
      </c>
    </row>
    <row r="185" spans="1:3">
      <c r="A185" s="8">
        <v>160</v>
      </c>
      <c r="B185" s="8">
        <v>610299.70397514757</v>
      </c>
      <c r="C185" s="8">
        <v>10673.32602485246</v>
      </c>
    </row>
    <row r="186" spans="1:3">
      <c r="A186" s="8">
        <v>161</v>
      </c>
      <c r="B186" s="8">
        <v>649034.20887662657</v>
      </c>
      <c r="C186" s="8">
        <v>1445.8511233734898</v>
      </c>
    </row>
    <row r="187" spans="1:3">
      <c r="A187" s="8">
        <v>162</v>
      </c>
      <c r="B187" s="8">
        <v>663931.52530626161</v>
      </c>
      <c r="C187" s="8">
        <v>114367.35469373839</v>
      </c>
    </row>
    <row r="188" spans="1:3">
      <c r="A188" s="8">
        <v>163</v>
      </c>
      <c r="B188" s="8">
        <v>682468.30726650089</v>
      </c>
      <c r="C188" s="8">
        <v>-5371.5972665009322</v>
      </c>
    </row>
    <row r="189" spans="1:3">
      <c r="A189" s="8">
        <v>164</v>
      </c>
      <c r="B189" s="8">
        <v>703183.36794207199</v>
      </c>
      <c r="C189" s="8">
        <v>-11174.727942071971</v>
      </c>
    </row>
    <row r="190" spans="1:3">
      <c r="A190" s="8">
        <v>165</v>
      </c>
      <c r="B190" s="8">
        <v>714427.33400996681</v>
      </c>
      <c r="C190" s="8">
        <v>111370.57599003322</v>
      </c>
    </row>
    <row r="191" spans="1:3">
      <c r="A191" s="8">
        <v>166</v>
      </c>
      <c r="B191" s="8">
        <v>635958.38211193902</v>
      </c>
      <c r="C191" s="8">
        <v>70327.137888060999</v>
      </c>
    </row>
    <row r="192" spans="1:3">
      <c r="A192" s="8">
        <v>167</v>
      </c>
      <c r="B192" s="8">
        <v>625307.43888551812</v>
      </c>
      <c r="C192" s="8">
        <v>40227.261114481837</v>
      </c>
    </row>
    <row r="193" spans="1:3">
      <c r="A193" s="8">
        <v>168</v>
      </c>
      <c r="B193" s="8">
        <v>727804.49568350834</v>
      </c>
      <c r="C193" s="8">
        <v>92924.794316491694</v>
      </c>
    </row>
    <row r="194" spans="1:3">
      <c r="A194" s="8">
        <v>169</v>
      </c>
      <c r="B194" s="8">
        <v>692937.04402789311</v>
      </c>
      <c r="C194" s="8">
        <v>46894.685972106876</v>
      </c>
    </row>
    <row r="195" spans="1:3">
      <c r="A195" s="8">
        <v>170</v>
      </c>
      <c r="B195" s="8">
        <v>630700.84395167872</v>
      </c>
      <c r="C195" s="8">
        <v>-37063.703951678704</v>
      </c>
    </row>
    <row r="196" spans="1:3">
      <c r="A196" s="8">
        <v>171</v>
      </c>
      <c r="B196" s="8">
        <v>669013.18184021628</v>
      </c>
      <c r="C196" s="8">
        <v>100689.57815978373</v>
      </c>
    </row>
    <row r="197" spans="1:3">
      <c r="A197" s="8">
        <v>172</v>
      </c>
      <c r="B197" s="8">
        <v>638733.66597460734</v>
      </c>
      <c r="C197" s="8">
        <v>40997.904025392607</v>
      </c>
    </row>
    <row r="198" spans="1:3">
      <c r="A198" s="8">
        <v>173</v>
      </c>
      <c r="B198" s="8">
        <v>699706.13345992344</v>
      </c>
      <c r="C198" s="8">
        <v>80638.046540076612</v>
      </c>
    </row>
    <row r="199" spans="1:3">
      <c r="A199" s="8">
        <v>174</v>
      </c>
      <c r="B199" s="8">
        <v>653724.74760591611</v>
      </c>
      <c r="C199" s="8">
        <v>67639.362394083873</v>
      </c>
    </row>
    <row r="200" spans="1:3">
      <c r="A200" s="8">
        <v>175</v>
      </c>
      <c r="B200" s="8">
        <v>705673.9701749481</v>
      </c>
      <c r="C200" s="8">
        <v>52464.319825051934</v>
      </c>
    </row>
    <row r="201" spans="1:3">
      <c r="A201" s="8">
        <v>176</v>
      </c>
      <c r="B201" s="8">
        <v>695034.16462749057</v>
      </c>
      <c r="C201" s="8">
        <v>109229.83537250943</v>
      </c>
    </row>
    <row r="202" spans="1:3">
      <c r="A202" s="8">
        <v>177</v>
      </c>
      <c r="B202" s="8">
        <v>704511.09427156439</v>
      </c>
      <c r="C202" s="8">
        <v>183026.65572843561</v>
      </c>
    </row>
    <row r="203" spans="1:3">
      <c r="A203" s="8">
        <v>178</v>
      </c>
      <c r="B203" s="8">
        <v>623364.11621607933</v>
      </c>
      <c r="C203" s="8">
        <v>160217.88378392067</v>
      </c>
    </row>
    <row r="204" spans="1:3">
      <c r="A204" s="8">
        <v>179</v>
      </c>
      <c r="B204" s="8">
        <v>647099.87301507022</v>
      </c>
      <c r="C204" s="8">
        <v>134855.6469849298</v>
      </c>
    </row>
    <row r="205" spans="1:3">
      <c r="A205" s="8">
        <v>180</v>
      </c>
      <c r="B205" s="8">
        <v>720243.26811687439</v>
      </c>
      <c r="C205" s="8">
        <v>177787.77188312565</v>
      </c>
    </row>
    <row r="206" spans="1:3">
      <c r="A206" s="8">
        <v>181</v>
      </c>
      <c r="B206" s="8">
        <v>706634.32346467802</v>
      </c>
      <c r="C206" s="8">
        <v>148706.95653532201</v>
      </c>
    </row>
    <row r="207" spans="1:3">
      <c r="A207" s="8">
        <v>182</v>
      </c>
      <c r="B207" s="8">
        <v>657053.84882827743</v>
      </c>
      <c r="C207" s="8">
        <v>94340.03117172257</v>
      </c>
    </row>
    <row r="208" spans="1:3">
      <c r="A208" s="8">
        <v>183</v>
      </c>
      <c r="B208" s="8">
        <v>694962.37664319749</v>
      </c>
      <c r="C208" s="8">
        <v>66114.703356802464</v>
      </c>
    </row>
    <row r="209" spans="1:3">
      <c r="A209" s="8">
        <v>184</v>
      </c>
      <c r="B209" s="8">
        <v>684183.85055890062</v>
      </c>
      <c r="C209" s="8">
        <v>135476.73944109934</v>
      </c>
    </row>
    <row r="210" spans="1:3">
      <c r="A210" s="8">
        <v>185</v>
      </c>
      <c r="B210" s="8">
        <v>713982.44442828</v>
      </c>
      <c r="C210" s="8">
        <v>-32126.88442827994</v>
      </c>
    </row>
    <row r="211" spans="1:3">
      <c r="A211" s="8">
        <v>186</v>
      </c>
      <c r="B211" s="8">
        <v>682478.06072150124</v>
      </c>
      <c r="C211" s="8">
        <v>-4166.8907215012005</v>
      </c>
    </row>
    <row r="212" spans="1:3">
      <c r="A212" s="8">
        <v>187</v>
      </c>
      <c r="B212" s="8">
        <v>663064.55389464647</v>
      </c>
      <c r="C212" s="8">
        <v>102842.39610535349</v>
      </c>
    </row>
    <row r="213" spans="1:3">
      <c r="A213" s="8">
        <v>188</v>
      </c>
      <c r="B213" s="8">
        <v>715778.05975299713</v>
      </c>
      <c r="C213" s="8">
        <v>-3231.6797529971227</v>
      </c>
    </row>
    <row r="214" spans="1:3">
      <c r="A214" s="8">
        <v>189</v>
      </c>
      <c r="B214" s="8">
        <v>713344.16811109474</v>
      </c>
      <c r="C214" s="8">
        <v>-87350.338111094781</v>
      </c>
    </row>
    <row r="215" spans="1:3">
      <c r="A215" s="8">
        <v>190</v>
      </c>
      <c r="B215" s="8">
        <v>679583.39286596817</v>
      </c>
      <c r="C215" s="8">
        <v>-128620.46286596812</v>
      </c>
    </row>
    <row r="216" spans="1:3">
      <c r="A216" s="8">
        <v>191</v>
      </c>
      <c r="B216" s="8">
        <v>641074.85720249976</v>
      </c>
      <c r="C216" s="8">
        <v>-197799.26720249973</v>
      </c>
    </row>
    <row r="217" spans="1:3">
      <c r="A217" s="8">
        <v>192</v>
      </c>
      <c r="B217" s="8">
        <v>677831.9662292985</v>
      </c>
      <c r="C217" s="8">
        <v>-123819.89622929855</v>
      </c>
    </row>
    <row r="218" spans="1:3">
      <c r="A218" s="8">
        <v>193</v>
      </c>
      <c r="B218" s="8">
        <v>734969.66483071703</v>
      </c>
      <c r="C218" s="8">
        <v>-91540.814830717049</v>
      </c>
    </row>
    <row r="219" spans="1:3">
      <c r="A219" s="8">
        <v>194</v>
      </c>
      <c r="B219" s="8">
        <v>669669.83639247855</v>
      </c>
      <c r="C219" s="8">
        <v>-57745.566392478533</v>
      </c>
    </row>
    <row r="220" spans="1:3">
      <c r="A220" s="8">
        <v>195</v>
      </c>
      <c r="B220" s="8">
        <v>646429.24844865885</v>
      </c>
      <c r="C220" s="8">
        <v>-87007.228448658832</v>
      </c>
    </row>
    <row r="221" spans="1:3">
      <c r="A221" s="8">
        <v>196</v>
      </c>
      <c r="B221" s="8">
        <v>649490.42779905617</v>
      </c>
      <c r="C221" s="8">
        <v>-200025.36779905617</v>
      </c>
    </row>
    <row r="222" spans="1:3">
      <c r="A222" s="8">
        <v>197</v>
      </c>
      <c r="B222" s="8">
        <v>713790.42062099115</v>
      </c>
      <c r="C222" s="8">
        <v>-22342.990620991099</v>
      </c>
    </row>
    <row r="223" spans="1:3">
      <c r="A223" s="8">
        <v>198</v>
      </c>
      <c r="B223" s="8">
        <v>675780.43983746483</v>
      </c>
      <c r="C223" s="8">
        <v>-101713.82983746484</v>
      </c>
    </row>
    <row r="224" spans="1:3">
      <c r="A224" s="8">
        <v>199</v>
      </c>
      <c r="B224" s="8">
        <v>676795.18248106143</v>
      </c>
      <c r="C224" s="8">
        <v>-97845.342481061467</v>
      </c>
    </row>
    <row r="225" spans="1:3">
      <c r="A225" s="8">
        <v>200</v>
      </c>
      <c r="B225" s="8">
        <v>691515.80804576632</v>
      </c>
      <c r="C225" s="8">
        <v>44270.831954233698</v>
      </c>
    </row>
    <row r="226" spans="1:3">
      <c r="A226" s="8">
        <v>201</v>
      </c>
      <c r="B226" s="8">
        <v>608294.41066367598</v>
      </c>
      <c r="C226" s="8">
        <v>-9389.5106636759592</v>
      </c>
    </row>
    <row r="227" spans="1:3">
      <c r="A227" s="8">
        <v>202</v>
      </c>
      <c r="B227" s="8">
        <v>727122.6695508738</v>
      </c>
      <c r="C227" s="8">
        <v>60592.840449126204</v>
      </c>
    </row>
    <row r="228" spans="1:3">
      <c r="A228" s="8">
        <v>203</v>
      </c>
      <c r="B228" s="8">
        <v>635745.27550890716</v>
      </c>
      <c r="C228" s="8">
        <v>-28660.355508907116</v>
      </c>
    </row>
    <row r="229" spans="1:3">
      <c r="A229" s="8">
        <v>204</v>
      </c>
      <c r="B229" s="8">
        <v>697292.23853034712</v>
      </c>
      <c r="C229" s="8">
        <v>-46496.748530347133</v>
      </c>
    </row>
    <row r="230" spans="1:3">
      <c r="A230" s="8">
        <v>205</v>
      </c>
      <c r="B230" s="8">
        <v>756890.23550773016</v>
      </c>
      <c r="C230" s="8">
        <v>68170.284492269857</v>
      </c>
    </row>
    <row r="231" spans="1:3">
      <c r="A231" s="8">
        <v>206</v>
      </c>
      <c r="B231" s="8">
        <v>676415.13846809976</v>
      </c>
      <c r="C231" s="8">
        <v>119049.33153190021</v>
      </c>
    </row>
    <row r="232" spans="1:3">
      <c r="A232" s="8">
        <v>207</v>
      </c>
      <c r="B232" s="8">
        <v>641665.75046864618</v>
      </c>
      <c r="C232" s="8">
        <v>30202.839531353791</v>
      </c>
    </row>
    <row r="233" spans="1:3">
      <c r="A233" s="8">
        <v>208</v>
      </c>
      <c r="B233" s="8">
        <v>680914.84595228394</v>
      </c>
      <c r="C233" s="8">
        <v>-4997.2159522839356</v>
      </c>
    </row>
    <row r="234" spans="1:3">
      <c r="A234" s="8">
        <v>209</v>
      </c>
      <c r="B234" s="8">
        <v>695914.21163161704</v>
      </c>
      <c r="C234" s="8">
        <v>114532.31836838298</v>
      </c>
    </row>
    <row r="235" spans="1:3">
      <c r="A235" s="8">
        <v>210</v>
      </c>
      <c r="B235" s="8">
        <v>694833.47344861843</v>
      </c>
      <c r="C235" s="8">
        <v>-3545.2834486184875</v>
      </c>
    </row>
    <row r="236" spans="1:3">
      <c r="A236" s="8">
        <v>211</v>
      </c>
      <c r="B236" s="8">
        <v>790707.99818862299</v>
      </c>
      <c r="C236" s="8">
        <v>156125.54181137704</v>
      </c>
    </row>
    <row r="237" spans="1:3">
      <c r="A237" s="8">
        <v>212</v>
      </c>
      <c r="B237" s="8">
        <v>665990.6116905082</v>
      </c>
      <c r="C237" s="8">
        <v>95972.61830949178</v>
      </c>
    </row>
    <row r="238" spans="1:3">
      <c r="A238" s="8">
        <v>213</v>
      </c>
      <c r="B238" s="8">
        <v>669146.02474915131</v>
      </c>
      <c r="C238" s="8">
        <v>143006.57525084866</v>
      </c>
    </row>
    <row r="239" spans="1:3">
      <c r="A239" s="8">
        <v>214</v>
      </c>
      <c r="B239" s="8">
        <v>649835.01438281348</v>
      </c>
      <c r="C239" s="8">
        <v>155140.48561718652</v>
      </c>
    </row>
    <row r="240" spans="1:3">
      <c r="A240" s="8">
        <v>215</v>
      </c>
      <c r="B240" s="8">
        <v>635943.98618272447</v>
      </c>
      <c r="C240" s="8">
        <v>116377.7338172755</v>
      </c>
    </row>
    <row r="241" spans="1:3">
      <c r="A241" s="8">
        <v>216</v>
      </c>
      <c r="B241" s="8">
        <v>661700.24146102602</v>
      </c>
      <c r="C241" s="8">
        <v>175207.99853897397</v>
      </c>
    </row>
    <row r="242" spans="1:3">
      <c r="A242" s="8">
        <v>217</v>
      </c>
      <c r="B242" s="8">
        <v>708102.51658277819</v>
      </c>
      <c r="C242" s="8">
        <v>-33813.416582778213</v>
      </c>
    </row>
    <row r="243" spans="1:3">
      <c r="A243" s="8">
        <v>218</v>
      </c>
      <c r="B243" s="8">
        <v>633155.92486809066</v>
      </c>
      <c r="C243" s="8">
        <v>-10263.504868090618</v>
      </c>
    </row>
    <row r="244" spans="1:3">
      <c r="A244" s="8">
        <v>219</v>
      </c>
      <c r="B244" s="8">
        <v>685965.13384166313</v>
      </c>
      <c r="C244" s="8">
        <v>-12616.573841663077</v>
      </c>
    </row>
    <row r="245" spans="1:3">
      <c r="A245" s="8">
        <v>220</v>
      </c>
      <c r="B245" s="8">
        <v>595812.79930264573</v>
      </c>
      <c r="C245" s="8">
        <v>10465.50069735432</v>
      </c>
    </row>
    <row r="246" spans="1:3">
      <c r="A246" s="8">
        <v>221</v>
      </c>
      <c r="B246" s="8">
        <v>674427.94654691254</v>
      </c>
      <c r="C246" s="8">
        <v>37791.863453087513</v>
      </c>
    </row>
    <row r="247" spans="1:3">
      <c r="A247" s="8">
        <v>222</v>
      </c>
      <c r="B247" s="8">
        <v>618690.37983612448</v>
      </c>
      <c r="C247" s="8">
        <v>53980.160163875553</v>
      </c>
    </row>
    <row r="248" spans="1:3">
      <c r="A248" s="8">
        <v>223</v>
      </c>
      <c r="B248" s="8">
        <v>703379.54442124953</v>
      </c>
      <c r="C248" s="8">
        <v>29288.375578750507</v>
      </c>
    </row>
    <row r="249" spans="1:3">
      <c r="A249" s="8">
        <v>224</v>
      </c>
      <c r="B249" s="8">
        <v>717388.42331996735</v>
      </c>
      <c r="C249" s="8">
        <v>6142.9766800326761</v>
      </c>
    </row>
    <row r="250" spans="1:3">
      <c r="A250" s="8">
        <v>225</v>
      </c>
      <c r="B250" s="8">
        <v>706040.55527183937</v>
      </c>
      <c r="C250" s="8">
        <v>-64475.955271839397</v>
      </c>
    </row>
    <row r="251" spans="1:3">
      <c r="A251" s="8">
        <v>226</v>
      </c>
      <c r="B251" s="8">
        <v>682644.38055458595</v>
      </c>
      <c r="C251" s="8">
        <v>-146098.89055458596</v>
      </c>
    </row>
    <row r="252" spans="1:3">
      <c r="A252" s="8">
        <v>227</v>
      </c>
      <c r="B252" s="8">
        <v>652204.31600503006</v>
      </c>
      <c r="C252" s="8">
        <v>-124522.75600503001</v>
      </c>
    </row>
    <row r="253" spans="1:3">
      <c r="A253" s="8">
        <v>228</v>
      </c>
      <c r="B253" s="8">
        <v>644557.92672104586</v>
      </c>
      <c r="C253" s="8">
        <v>-114958.98672104592</v>
      </c>
    </row>
    <row r="254" spans="1:3">
      <c r="A254" s="8">
        <v>229</v>
      </c>
      <c r="B254" s="8">
        <v>640262.10477872519</v>
      </c>
      <c r="C254" s="8">
        <v>-69298.794778725132</v>
      </c>
    </row>
    <row r="255" spans="1:3">
      <c r="A255" s="8">
        <v>230</v>
      </c>
      <c r="B255" s="8">
        <v>802986.72490819369</v>
      </c>
      <c r="C255" s="8">
        <v>67950.675091806334</v>
      </c>
    </row>
    <row r="256" spans="1:3">
      <c r="A256" s="8">
        <v>231</v>
      </c>
      <c r="B256" s="8">
        <v>631423.77088813565</v>
      </c>
      <c r="C256" s="8">
        <v>-34454.500888135633</v>
      </c>
    </row>
    <row r="257" spans="1:3">
      <c r="A257" s="8">
        <v>232</v>
      </c>
      <c r="B257" s="8">
        <v>615758.89162317745</v>
      </c>
      <c r="C257" s="8">
        <v>31753.958376822527</v>
      </c>
    </row>
    <row r="258" spans="1:3">
      <c r="A258" s="8">
        <v>233</v>
      </c>
      <c r="B258" s="8">
        <v>661382.57270940952</v>
      </c>
      <c r="C258" s="8">
        <v>-3310.4327094095061</v>
      </c>
    </row>
    <row r="259" spans="1:3">
      <c r="A259" s="8">
        <v>234</v>
      </c>
      <c r="B259" s="8">
        <v>692067.34675985877</v>
      </c>
      <c r="C259" s="8">
        <v>31237.763240141212</v>
      </c>
    </row>
    <row r="260" spans="1:3">
      <c r="A260" s="8">
        <v>235</v>
      </c>
      <c r="B260" s="8">
        <v>694051.9405991463</v>
      </c>
      <c r="C260" s="8">
        <v>-53385.410599146271</v>
      </c>
    </row>
    <row r="261" spans="1:3">
      <c r="A261" s="8">
        <v>236</v>
      </c>
      <c r="B261" s="8">
        <v>662878.00309594965</v>
      </c>
      <c r="C261" s="8">
        <v>7751.4769040503306</v>
      </c>
    </row>
    <row r="262" spans="1:3">
      <c r="A262" s="8">
        <v>237</v>
      </c>
      <c r="B262" s="8">
        <v>659792.80213585717</v>
      </c>
      <c r="C262" s="8">
        <v>61286.547864142805</v>
      </c>
    </row>
    <row r="263" spans="1:3">
      <c r="A263" s="8">
        <v>238</v>
      </c>
      <c r="B263" s="8">
        <v>716155.31402227969</v>
      </c>
      <c r="C263" s="8">
        <v>94199.705977720325</v>
      </c>
    </row>
    <row r="264" spans="1:3">
      <c r="A264" s="8">
        <v>239</v>
      </c>
      <c r="B264" s="8">
        <v>686550.17077565868</v>
      </c>
      <c r="C264" s="8">
        <v>75369.079224341316</v>
      </c>
    </row>
    <row r="265" spans="1:3">
      <c r="A265" s="8">
        <v>240</v>
      </c>
      <c r="B265" s="8">
        <v>616674.65160554764</v>
      </c>
      <c r="C265" s="8">
        <v>120395.52839445241</v>
      </c>
    </row>
    <row r="266" spans="1:3">
      <c r="A266" s="8">
        <v>241</v>
      </c>
      <c r="B266" s="8">
        <v>709634.91639700532</v>
      </c>
      <c r="C266" s="8">
        <v>67358.013602994732</v>
      </c>
    </row>
    <row r="267" spans="1:3">
      <c r="A267" s="8">
        <v>242</v>
      </c>
      <c r="B267" s="8">
        <v>671050.16323256248</v>
      </c>
      <c r="C267" s="8">
        <v>5287.2467674375512</v>
      </c>
    </row>
    <row r="268" spans="1:3">
      <c r="A268" s="8">
        <v>243</v>
      </c>
      <c r="B268" s="8">
        <v>711550.511995679</v>
      </c>
      <c r="C268" s="8">
        <v>116669.15800432104</v>
      </c>
    </row>
    <row r="269" spans="1:3">
      <c r="A269" s="8">
        <v>244</v>
      </c>
      <c r="B269" s="8">
        <v>674808.30999617337</v>
      </c>
      <c r="C269" s="8">
        <v>88351.610003826674</v>
      </c>
    </row>
    <row r="270" spans="1:3">
      <c r="A270" s="8">
        <v>245</v>
      </c>
      <c r="B270" s="8">
        <v>724631.55621991912</v>
      </c>
      <c r="C270" s="8">
        <v>77370.123780080932</v>
      </c>
    </row>
    <row r="271" spans="1:3">
      <c r="A271" s="8">
        <v>246</v>
      </c>
      <c r="B271" s="8">
        <v>663126.39676215965</v>
      </c>
      <c r="C271" s="8">
        <v>87344.943237840314</v>
      </c>
    </row>
    <row r="272" spans="1:3">
      <c r="A272" s="8">
        <v>247</v>
      </c>
      <c r="B272" s="8">
        <v>682993.75868283038</v>
      </c>
      <c r="C272" s="8">
        <v>-3762.8986828303896</v>
      </c>
    </row>
    <row r="273" spans="1:3">
      <c r="A273" s="8">
        <v>248</v>
      </c>
      <c r="B273" s="8">
        <v>606640.26302797056</v>
      </c>
      <c r="C273" s="8">
        <v>73248.476972029428</v>
      </c>
    </row>
    <row r="274" spans="1:3">
      <c r="A274" s="8">
        <v>249</v>
      </c>
      <c r="B274" s="8">
        <v>647927.38339586509</v>
      </c>
      <c r="C274" s="8">
        <v>-41143.713395865052</v>
      </c>
    </row>
    <row r="275" spans="1:3">
      <c r="A275" s="8">
        <v>250</v>
      </c>
      <c r="B275" s="8">
        <v>716092.7045076486</v>
      </c>
      <c r="C275" s="8">
        <v>-73341.284507648554</v>
      </c>
    </row>
    <row r="276" spans="1:3">
      <c r="A276" s="8">
        <v>251</v>
      </c>
      <c r="B276" s="8">
        <v>642471.96509616508</v>
      </c>
      <c r="C276" s="8">
        <v>5481.8149038349511</v>
      </c>
    </row>
    <row r="277" spans="1:3">
      <c r="A277" s="8">
        <v>252</v>
      </c>
      <c r="B277" s="8">
        <v>768370.35018370138</v>
      </c>
      <c r="C277" s="8">
        <v>-38929.900183701422</v>
      </c>
    </row>
    <row r="278" spans="1:3">
      <c r="A278" s="8">
        <v>253</v>
      </c>
      <c r="B278" s="8">
        <v>734980.44048187463</v>
      </c>
      <c r="C278" s="8">
        <v>29968.559518125374</v>
      </c>
    </row>
    <row r="279" spans="1:3">
      <c r="A279" s="8">
        <v>254</v>
      </c>
      <c r="B279" s="8">
        <v>696180.23818153958</v>
      </c>
      <c r="C279" s="8">
        <v>102866.70181846037</v>
      </c>
    </row>
    <row r="280" spans="1:3">
      <c r="A280" s="8">
        <v>255</v>
      </c>
      <c r="B280" s="8">
        <v>721374.4559393836</v>
      </c>
      <c r="C280" s="8">
        <v>-1294.915939383558</v>
      </c>
    </row>
    <row r="281" spans="1:3">
      <c r="A281" s="8">
        <v>256</v>
      </c>
      <c r="B281" s="8">
        <v>638059.8044536981</v>
      </c>
      <c r="C281" s="8">
        <v>-25669.664453698089</v>
      </c>
    </row>
    <row r="282" spans="1:3">
      <c r="A282" s="8">
        <v>257</v>
      </c>
      <c r="B282" s="8">
        <v>699780.22138557024</v>
      </c>
      <c r="C282" s="8">
        <v>140327.89861442975</v>
      </c>
    </row>
    <row r="283" spans="1:3">
      <c r="A283" s="8">
        <v>258</v>
      </c>
      <c r="B283" s="8">
        <v>621833.18580882833</v>
      </c>
      <c r="C283" s="8">
        <v>76054.904191171634</v>
      </c>
    </row>
    <row r="284" spans="1:3">
      <c r="A284" s="8">
        <v>259</v>
      </c>
      <c r="B284" s="8">
        <v>654881.87365591538</v>
      </c>
      <c r="C284" s="8">
        <v>91233.716344084591</v>
      </c>
    </row>
    <row r="285" spans="1:3">
      <c r="A285" s="8">
        <v>260</v>
      </c>
      <c r="B285" s="8">
        <v>642548.39555467223</v>
      </c>
      <c r="C285" s="8">
        <v>133561.92444532772</v>
      </c>
    </row>
    <row r="286" spans="1:3">
      <c r="A286" s="8">
        <v>261</v>
      </c>
      <c r="B286" s="8">
        <v>591697.43757358496</v>
      </c>
      <c r="C286" s="8">
        <v>-62844.817573584965</v>
      </c>
    </row>
    <row r="287" spans="1:3">
      <c r="A287" s="8">
        <v>262</v>
      </c>
      <c r="B287" s="8">
        <v>652962.82814521098</v>
      </c>
      <c r="C287" s="8">
        <v>-47211.498145211022</v>
      </c>
    </row>
    <row r="288" spans="1:3">
      <c r="A288" s="8">
        <v>263</v>
      </c>
      <c r="B288" s="8">
        <v>670345.16732036392</v>
      </c>
      <c r="C288" s="8">
        <v>7295.4826796361012</v>
      </c>
    </row>
    <row r="289" spans="1:3">
      <c r="A289" s="8">
        <v>264</v>
      </c>
      <c r="B289" s="8">
        <v>685758.41596461402</v>
      </c>
      <c r="C289" s="8">
        <v>-49145.185964614036</v>
      </c>
    </row>
    <row r="290" spans="1:3">
      <c r="A290" s="8">
        <v>265</v>
      </c>
      <c r="B290" s="8">
        <v>686383.76575956075</v>
      </c>
      <c r="C290" s="8">
        <v>22601.424240439199</v>
      </c>
    </row>
    <row r="291" spans="1:3">
      <c r="A291" s="8">
        <v>266</v>
      </c>
      <c r="B291" s="8">
        <v>717204.32153289719</v>
      </c>
      <c r="C291" s="8">
        <v>50588.618467102759</v>
      </c>
    </row>
    <row r="292" spans="1:3">
      <c r="A292" s="8">
        <v>267</v>
      </c>
      <c r="B292" s="8">
        <v>681316.3986760542</v>
      </c>
      <c r="C292" s="8">
        <v>64264.111323945806</v>
      </c>
    </row>
    <row r="293" spans="1:3">
      <c r="A293" s="8">
        <v>268</v>
      </c>
      <c r="B293" s="8">
        <v>704997.06336132041</v>
      </c>
      <c r="C293" s="8">
        <v>57331.246638679644</v>
      </c>
    </row>
    <row r="294" spans="1:3">
      <c r="A294" s="8">
        <v>269</v>
      </c>
      <c r="B294" s="8">
        <v>664600.3610293977</v>
      </c>
      <c r="C294" s="8">
        <v>-3966.3710293977056</v>
      </c>
    </row>
    <row r="295" spans="1:3">
      <c r="A295" s="8">
        <v>270</v>
      </c>
      <c r="B295" s="8">
        <v>611706.07552148798</v>
      </c>
      <c r="C295" s="8">
        <v>127668.48447851208</v>
      </c>
    </row>
    <row r="296" spans="1:3">
      <c r="A296" s="8">
        <v>271</v>
      </c>
      <c r="B296" s="8">
        <v>692801.00675596669</v>
      </c>
      <c r="C296" s="8">
        <v>106955.45324403327</v>
      </c>
    </row>
    <row r="297" spans="1:3">
      <c r="A297" s="8">
        <v>272</v>
      </c>
      <c r="B297" s="8">
        <v>623269.58436728758</v>
      </c>
      <c r="C297" s="8">
        <v>-29926.584367287578</v>
      </c>
    </row>
    <row r="298" spans="1:3">
      <c r="A298" s="8">
        <v>273</v>
      </c>
      <c r="B298" s="8">
        <v>668389.40793101187</v>
      </c>
      <c r="C298" s="8">
        <v>-23349.437931011897</v>
      </c>
    </row>
    <row r="299" spans="1:3">
      <c r="A299" s="8">
        <v>274</v>
      </c>
      <c r="B299" s="8">
        <v>598178.16121050634</v>
      </c>
      <c r="C299" s="8">
        <v>-36580.831210506381</v>
      </c>
    </row>
    <row r="300" spans="1:3">
      <c r="A300" s="8">
        <v>275</v>
      </c>
      <c r="B300" s="8">
        <v>662248.86265691975</v>
      </c>
      <c r="C300" s="8">
        <v>-26411.122656919761</v>
      </c>
    </row>
    <row r="301" spans="1:3">
      <c r="A301" s="8">
        <v>276</v>
      </c>
      <c r="B301" s="8">
        <v>642334.92692383472</v>
      </c>
      <c r="C301" s="8">
        <v>44402.943076165277</v>
      </c>
    </row>
    <row r="302" spans="1:3">
      <c r="A302" s="8">
        <v>277</v>
      </c>
      <c r="B302" s="8">
        <v>692351.26174253295</v>
      </c>
      <c r="C302" s="8">
        <v>-19274.921742532984</v>
      </c>
    </row>
    <row r="303" spans="1:3">
      <c r="A303" s="8">
        <v>278</v>
      </c>
      <c r="B303" s="8">
        <v>639214.56667508371</v>
      </c>
      <c r="C303" s="8">
        <v>99333.85332491633</v>
      </c>
    </row>
    <row r="304" spans="1:3">
      <c r="A304" s="8">
        <v>279</v>
      </c>
      <c r="B304" s="8">
        <v>664294.74567413528</v>
      </c>
      <c r="C304" s="8">
        <v>92325.024325864739</v>
      </c>
    </row>
    <row r="305" spans="1:3">
      <c r="A305" s="8">
        <v>280</v>
      </c>
      <c r="B305" s="8">
        <v>710452.54554828024</v>
      </c>
      <c r="C305" s="8">
        <v>50669.874451719807</v>
      </c>
    </row>
    <row r="306" spans="1:3">
      <c r="A306" s="8">
        <v>281</v>
      </c>
      <c r="B306" s="8">
        <v>658610.86653329153</v>
      </c>
      <c r="C306" s="8">
        <v>-133711.29653329158</v>
      </c>
    </row>
    <row r="307" spans="1:3">
      <c r="A307" s="8">
        <v>282</v>
      </c>
      <c r="B307" s="8">
        <v>634825.36285464815</v>
      </c>
      <c r="C307" s="8">
        <v>-79267.59285464813</v>
      </c>
    </row>
    <row r="308" spans="1:3">
      <c r="A308" s="8">
        <v>283</v>
      </c>
      <c r="B308" s="8">
        <v>701551.19752374734</v>
      </c>
      <c r="C308" s="8">
        <v>12532.482476252713</v>
      </c>
    </row>
    <row r="309" spans="1:3">
      <c r="A309" s="8">
        <v>284</v>
      </c>
      <c r="B309" s="8">
        <v>600385.76417809899</v>
      </c>
      <c r="C309" s="8">
        <v>-102945.94417809899</v>
      </c>
    </row>
    <row r="310" spans="1:3">
      <c r="A310" s="8">
        <v>285</v>
      </c>
      <c r="B310" s="8">
        <v>688941.70516429527</v>
      </c>
      <c r="C310" s="8">
        <v>-52166.045164295239</v>
      </c>
    </row>
    <row r="311" spans="1:3">
      <c r="A311" s="8">
        <v>286</v>
      </c>
      <c r="B311" s="8">
        <v>719514.05893320113</v>
      </c>
      <c r="C311" s="8">
        <v>-86504.528933201102</v>
      </c>
    </row>
    <row r="312" spans="1:3">
      <c r="A312" s="8">
        <v>287</v>
      </c>
      <c r="B312" s="8">
        <v>678696.12660148111</v>
      </c>
      <c r="C312" s="8">
        <v>-68747.126601481112</v>
      </c>
    </row>
    <row r="313" spans="1:3">
      <c r="A313" s="8">
        <v>288</v>
      </c>
      <c r="B313" s="8">
        <v>647938.07386400958</v>
      </c>
      <c r="C313" s="8">
        <v>-99834.373864009627</v>
      </c>
    </row>
    <row r="314" spans="1:3">
      <c r="A314" s="8">
        <v>289</v>
      </c>
      <c r="B314" s="8">
        <v>709874.04641054035</v>
      </c>
      <c r="C314" s="8">
        <v>19550.37358945969</v>
      </c>
    </row>
    <row r="315" spans="1:3">
      <c r="A315" s="8">
        <v>290</v>
      </c>
      <c r="B315" s="8">
        <v>707524.80538790964</v>
      </c>
      <c r="C315" s="8">
        <v>-11263.31538790965</v>
      </c>
    </row>
    <row r="316" spans="1:3">
      <c r="A316" s="8">
        <v>291</v>
      </c>
      <c r="B316" s="8">
        <v>681603.69968349941</v>
      </c>
      <c r="C316" s="8">
        <v>131713.01031650056</v>
      </c>
    </row>
    <row r="317" spans="1:3">
      <c r="A317" s="8">
        <v>292</v>
      </c>
      <c r="B317" s="8">
        <v>675946.71707904304</v>
      </c>
      <c r="C317" s="8">
        <v>26122.202920957003</v>
      </c>
    </row>
    <row r="318" spans="1:3">
      <c r="A318" s="8">
        <v>293</v>
      </c>
      <c r="B318" s="8">
        <v>671507.42564690253</v>
      </c>
      <c r="C318" s="8">
        <v>-125283.72564690257</v>
      </c>
    </row>
    <row r="319" spans="1:3">
      <c r="A319" s="8">
        <v>294</v>
      </c>
      <c r="B319" s="8">
        <v>646179.44926273264</v>
      </c>
      <c r="C319" s="8">
        <v>-113058.18926273263</v>
      </c>
    </row>
    <row r="320" spans="1:3">
      <c r="A320" s="8">
        <v>295</v>
      </c>
      <c r="B320" s="8">
        <v>688180.27550591552</v>
      </c>
      <c r="C320" s="8">
        <v>-189209.95550591551</v>
      </c>
    </row>
    <row r="321" spans="1:3">
      <c r="A321" s="8">
        <v>296</v>
      </c>
      <c r="B321" s="8">
        <v>619124.04655583482</v>
      </c>
      <c r="C321" s="8">
        <v>-131385.78655583481</v>
      </c>
    </row>
    <row r="322" spans="1:3">
      <c r="A322" s="8">
        <v>297</v>
      </c>
      <c r="B322" s="8">
        <v>679180.79665028735</v>
      </c>
      <c r="C322" s="8">
        <v>-10721.426650287351</v>
      </c>
    </row>
    <row r="323" spans="1:3">
      <c r="A323" s="8">
        <v>298</v>
      </c>
      <c r="B323" s="8">
        <v>678921.09493908775</v>
      </c>
      <c r="C323" s="8">
        <v>84241.355060912203</v>
      </c>
    </row>
    <row r="324" spans="1:3">
      <c r="A324" s="8">
        <v>299</v>
      </c>
      <c r="B324" s="8">
        <v>659109.84732829907</v>
      </c>
      <c r="C324" s="8">
        <v>-60092.517328299116</v>
      </c>
    </row>
    <row r="325" spans="1:3">
      <c r="A325" s="8">
        <v>300</v>
      </c>
      <c r="B325" s="8">
        <v>612660.14656400145</v>
      </c>
      <c r="C325" s="8">
        <v>-211077.56656400143</v>
      </c>
    </row>
    <row r="326" spans="1:3">
      <c r="A326" s="8">
        <v>301</v>
      </c>
      <c r="B326" s="8">
        <v>647339.62060545024</v>
      </c>
      <c r="C326" s="8">
        <v>56473.369394549751</v>
      </c>
    </row>
    <row r="327" spans="1:3">
      <c r="A327" s="8">
        <v>302</v>
      </c>
      <c r="B327" s="8">
        <v>697042.4393444208</v>
      </c>
      <c r="C327" s="8">
        <v>27304.290655579185</v>
      </c>
    </row>
    <row r="328" spans="1:3">
      <c r="A328" s="8">
        <v>303</v>
      </c>
      <c r="B328" s="8">
        <v>673312.09166676202</v>
      </c>
      <c r="C328" s="8">
        <v>57577.918333237991</v>
      </c>
    </row>
    <row r="329" spans="1:3">
      <c r="A329" s="8">
        <v>304</v>
      </c>
      <c r="B329" s="8">
        <v>628917.89960016066</v>
      </c>
      <c r="C329" s="8">
        <v>151663.0503998393</v>
      </c>
    </row>
    <row r="330" spans="1:3">
      <c r="A330" s="8">
        <v>305</v>
      </c>
      <c r="B330" s="8">
        <v>677793.29314134945</v>
      </c>
      <c r="C330" s="8">
        <v>50164.18685865053</v>
      </c>
    </row>
    <row r="331" spans="1:3">
      <c r="A331" s="8">
        <v>306</v>
      </c>
      <c r="B331" s="8">
        <v>659049.23961447587</v>
      </c>
      <c r="C331" s="8">
        <v>-120673.23961447587</v>
      </c>
    </row>
    <row r="332" spans="1:3">
      <c r="A332" s="8">
        <v>307</v>
      </c>
      <c r="B332" s="8">
        <v>608452.7019977757</v>
      </c>
      <c r="C332" s="8">
        <v>56889.78800222429</v>
      </c>
    </row>
    <row r="333" spans="1:3">
      <c r="A333" s="8">
        <v>308</v>
      </c>
      <c r="B333" s="8">
        <v>690008.60110766452</v>
      </c>
      <c r="C333" s="8">
        <v>-38844.421107664471</v>
      </c>
    </row>
    <row r="334" spans="1:3">
      <c r="A334" s="8">
        <v>309</v>
      </c>
      <c r="B334" s="8">
        <v>663988.49144627457</v>
      </c>
      <c r="C334" s="8">
        <v>-35450.191446274519</v>
      </c>
    </row>
    <row r="335" spans="1:3">
      <c r="A335" s="8">
        <v>310</v>
      </c>
      <c r="B335" s="8">
        <v>611253.34910259559</v>
      </c>
      <c r="C335" s="8">
        <v>-74728.509102595621</v>
      </c>
    </row>
    <row r="336" spans="1:3">
      <c r="A336" s="8">
        <v>311</v>
      </c>
      <c r="B336" s="8">
        <v>676462.13819557964</v>
      </c>
      <c r="C336" s="8">
        <v>-54784.838195579592</v>
      </c>
    </row>
    <row r="337" spans="1:3">
      <c r="A337" s="8">
        <v>312</v>
      </c>
      <c r="B337" s="8">
        <v>743977.42773436964</v>
      </c>
      <c r="C337" s="8">
        <v>27151.642265630304</v>
      </c>
    </row>
    <row r="338" spans="1:3">
      <c r="A338" s="8">
        <v>313</v>
      </c>
      <c r="B338" s="8">
        <v>728944.62772239337</v>
      </c>
      <c r="C338" s="8">
        <v>-26892.1577223934</v>
      </c>
    </row>
    <row r="339" spans="1:3">
      <c r="A339" s="8">
        <v>314</v>
      </c>
      <c r="B339" s="8">
        <v>660373.30307440483</v>
      </c>
      <c r="C339" s="8">
        <v>27995.156925595133</v>
      </c>
    </row>
    <row r="340" spans="1:3">
      <c r="A340" s="8">
        <v>315</v>
      </c>
      <c r="B340" s="8">
        <v>693891.05118314689</v>
      </c>
      <c r="C340" s="8">
        <v>18484.718816853128</v>
      </c>
    </row>
    <row r="341" spans="1:3">
      <c r="A341" s="8">
        <v>316</v>
      </c>
      <c r="B341" s="8">
        <v>702300.99970083835</v>
      </c>
      <c r="C341" s="8">
        <v>142409.67029916169</v>
      </c>
    </row>
    <row r="342" spans="1:3">
      <c r="A342" s="8">
        <v>317</v>
      </c>
      <c r="B342" s="8">
        <v>723933.31106150895</v>
      </c>
      <c r="C342" s="8">
        <v>-103669.111061509</v>
      </c>
    </row>
    <row r="343" spans="1:3">
      <c r="A343" s="8">
        <v>318</v>
      </c>
      <c r="B343" s="8">
        <v>612074.68371494045</v>
      </c>
      <c r="C343" s="8">
        <v>-75229.263714940404</v>
      </c>
    </row>
    <row r="344" spans="1:3">
      <c r="A344" s="8">
        <v>319</v>
      </c>
      <c r="B344" s="8">
        <v>735195.05908338912</v>
      </c>
      <c r="C344" s="8">
        <v>-8418.8390833891463</v>
      </c>
    </row>
    <row r="345" spans="1:3" ht="14.4" thickBot="1">
      <c r="A345" s="10">
        <v>320</v>
      </c>
      <c r="B345" s="10">
        <v>647138.24796247343</v>
      </c>
      <c r="C345" s="10">
        <v>-87477.407962473459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6E01-D2FC-4EF4-B2DE-3A58981D66DC}">
  <dimension ref="A2:I345"/>
  <sheetViews>
    <sheetView topLeftCell="A7" workbookViewId="0">
      <selection activeCell="E25" sqref="E25"/>
    </sheetView>
  </sheetViews>
  <sheetFormatPr defaultRowHeight="13.8"/>
  <cols>
    <col min="1" max="1" width="18.296875" bestFit="1" customWidth="1"/>
    <col min="2" max="2" width="21.69921875" bestFit="1" customWidth="1"/>
    <col min="3" max="3" width="13.3984375" bestFit="1" customWidth="1"/>
    <col min="6" max="6" width="13.09765625" bestFit="1" customWidth="1"/>
    <col min="7" max="7" width="11.8984375" bestFit="1" customWidth="1"/>
    <col min="8" max="8" width="12" bestFit="1" customWidth="1"/>
  </cols>
  <sheetData>
    <row r="2" spans="1:6">
      <c r="A2" t="s">
        <v>124</v>
      </c>
    </row>
    <row r="3" spans="1:6" ht="14.4" thickBot="1"/>
    <row r="4" spans="1:6" ht="14.4">
      <c r="A4" s="7" t="s">
        <v>125</v>
      </c>
      <c r="B4" s="7"/>
    </row>
    <row r="5" spans="1:6">
      <c r="A5" s="4" t="s">
        <v>126</v>
      </c>
      <c r="B5" s="4">
        <v>0.85807070804410468</v>
      </c>
    </row>
    <row r="6" spans="1:6">
      <c r="A6" s="4" t="s">
        <v>127</v>
      </c>
      <c r="B6" s="4">
        <v>0.73628534000331114</v>
      </c>
    </row>
    <row r="7" spans="1:6">
      <c r="A7" s="4" t="s">
        <v>128</v>
      </c>
      <c r="B7" s="4">
        <v>0.73545604861967373</v>
      </c>
    </row>
    <row r="8" spans="1:6">
      <c r="A8" s="4" t="s">
        <v>129</v>
      </c>
      <c r="B8" s="4">
        <v>53373.736380790499</v>
      </c>
    </row>
    <row r="9" spans="1:6" ht="14.4" thickBot="1">
      <c r="A9" s="5" t="s">
        <v>130</v>
      </c>
      <c r="B9" s="5">
        <v>320</v>
      </c>
    </row>
    <row r="11" spans="1:6" ht="14.4" thickBot="1">
      <c r="A11" t="s">
        <v>131</v>
      </c>
    </row>
    <row r="12" spans="1:6" ht="14.4">
      <c r="A12" s="6"/>
      <c r="B12" s="6" t="s">
        <v>136</v>
      </c>
      <c r="C12" s="6" t="s">
        <v>137</v>
      </c>
      <c r="D12" s="6" t="s">
        <v>138</v>
      </c>
      <c r="E12" s="6" t="s">
        <v>139</v>
      </c>
      <c r="F12" s="6" t="s">
        <v>140</v>
      </c>
    </row>
    <row r="13" spans="1:6">
      <c r="A13" s="4" t="s">
        <v>132</v>
      </c>
      <c r="B13" s="4">
        <v>1</v>
      </c>
      <c r="C13" s="4">
        <v>2529264292982.4736</v>
      </c>
      <c r="D13" s="4">
        <v>2529264292982.4736</v>
      </c>
      <c r="E13" s="4">
        <v>887.84877611276033</v>
      </c>
      <c r="F13" s="4">
        <v>4.7503615090053331E-94</v>
      </c>
    </row>
    <row r="14" spans="1:6">
      <c r="A14" s="4" t="s">
        <v>133</v>
      </c>
      <c r="B14" s="4">
        <v>318</v>
      </c>
      <c r="C14" s="4">
        <v>905904323808.26587</v>
      </c>
      <c r="D14" s="4">
        <v>2848755735.246119</v>
      </c>
      <c r="E14" s="4"/>
      <c r="F14" s="4"/>
    </row>
    <row r="15" spans="1:6" ht="14.4" thickBot="1">
      <c r="A15" s="5" t="s">
        <v>134</v>
      </c>
      <c r="B15" s="5">
        <v>319</v>
      </c>
      <c r="C15" s="5">
        <v>3435168616790.7393</v>
      </c>
      <c r="D15" s="5"/>
      <c r="E15" s="5"/>
      <c r="F15" s="5"/>
    </row>
    <row r="16" spans="1:6" ht="14.4" thickBot="1"/>
    <row r="17" spans="1:9" ht="14.4">
      <c r="A17" s="6"/>
      <c r="B17" s="6" t="s">
        <v>141</v>
      </c>
      <c r="C17" s="6" t="s">
        <v>129</v>
      </c>
      <c r="D17" s="6" t="s">
        <v>142</v>
      </c>
      <c r="E17" s="6" t="s">
        <v>143</v>
      </c>
      <c r="F17" s="6" t="s">
        <v>144</v>
      </c>
      <c r="G17" s="6" t="s">
        <v>145</v>
      </c>
      <c r="H17" s="6" t="s">
        <v>146</v>
      </c>
      <c r="I17" s="6" t="s">
        <v>147</v>
      </c>
    </row>
    <row r="18" spans="1:9">
      <c r="A18" s="4" t="s">
        <v>135</v>
      </c>
      <c r="B18" s="4">
        <v>446410.58293395344</v>
      </c>
      <c r="C18" s="4">
        <v>8407.7382630059928</v>
      </c>
      <c r="D18" s="4">
        <v>53.095204556754318</v>
      </c>
      <c r="E18" s="4">
        <v>4.0862695711507226E-160</v>
      </c>
      <c r="F18" s="4">
        <v>429868.76191129786</v>
      </c>
      <c r="G18" s="4">
        <v>462952.40395660902</v>
      </c>
      <c r="H18" s="4">
        <v>429868.76191129786</v>
      </c>
      <c r="I18" s="4">
        <v>462952.40395660902</v>
      </c>
    </row>
    <row r="19" spans="1:9" ht="14.4" thickBot="1">
      <c r="A19" s="5" t="s">
        <v>5</v>
      </c>
      <c r="B19" s="5">
        <v>35.678031072640458</v>
      </c>
      <c r="C19" s="5">
        <v>1.1973782890340821</v>
      </c>
      <c r="D19" s="5">
        <v>29.796791372776362</v>
      </c>
      <c r="E19" s="5">
        <v>4.7503615090054677E-94</v>
      </c>
      <c r="F19" s="5">
        <v>33.322246825554025</v>
      </c>
      <c r="G19" s="5">
        <v>38.033815319726891</v>
      </c>
      <c r="H19" s="5">
        <v>33.322246825554025</v>
      </c>
      <c r="I19" s="5">
        <v>38.033815319726891</v>
      </c>
    </row>
    <row r="23" spans="1:9">
      <c r="A23" t="s">
        <v>148</v>
      </c>
    </row>
    <row r="24" spans="1:9" ht="14.4" thickBot="1"/>
    <row r="25" spans="1:9" ht="14.4">
      <c r="A25" s="6" t="s">
        <v>149</v>
      </c>
      <c r="B25" s="6" t="s">
        <v>150</v>
      </c>
      <c r="C25" s="6" t="s">
        <v>151</v>
      </c>
    </row>
    <row r="26" spans="1:9">
      <c r="A26" s="4">
        <v>1</v>
      </c>
      <c r="B26" s="4">
        <v>742609.59689901455</v>
      </c>
      <c r="C26" s="4">
        <v>-83776.976899014553</v>
      </c>
    </row>
    <row r="27" spans="1:9">
      <c r="A27" s="4">
        <v>2</v>
      </c>
      <c r="B27" s="4">
        <v>749210.03264745302</v>
      </c>
      <c r="C27" s="4">
        <v>-114774.03264745302</v>
      </c>
    </row>
    <row r="28" spans="1:9">
      <c r="A28" s="4">
        <v>3</v>
      </c>
      <c r="B28" s="4">
        <v>771544.480098926</v>
      </c>
      <c r="C28" s="4">
        <v>-92822.420098925941</v>
      </c>
    </row>
    <row r="29" spans="1:9">
      <c r="A29" s="4">
        <v>4</v>
      </c>
      <c r="B29" s="4">
        <v>782890.09398002562</v>
      </c>
      <c r="C29" s="4">
        <v>-123969.79398002557</v>
      </c>
    </row>
    <row r="30" spans="1:9">
      <c r="A30" s="4">
        <v>5</v>
      </c>
      <c r="B30" s="4">
        <v>786957.38952230662</v>
      </c>
      <c r="C30" s="4">
        <v>-45615.949522306677</v>
      </c>
    </row>
    <row r="31" spans="1:9">
      <c r="A31" s="4">
        <v>6</v>
      </c>
      <c r="B31" s="4">
        <v>795769.86319724878</v>
      </c>
      <c r="C31" s="4">
        <v>-33934.523197248811</v>
      </c>
    </row>
    <row r="32" spans="1:9">
      <c r="A32" s="4">
        <v>7</v>
      </c>
      <c r="B32" s="4">
        <v>825168.56080110453</v>
      </c>
      <c r="C32" s="4">
        <v>-18553.020801104489</v>
      </c>
    </row>
    <row r="33" spans="1:3">
      <c r="A33" s="4">
        <v>8</v>
      </c>
      <c r="B33" s="4">
        <v>752064.27513326425</v>
      </c>
      <c r="C33" s="4">
        <v>98099.984866735758</v>
      </c>
    </row>
    <row r="34" spans="1:3">
      <c r="A34" s="4">
        <v>9</v>
      </c>
      <c r="B34" s="4">
        <v>838119.68608047301</v>
      </c>
      <c r="C34" s="4">
        <v>92462.013919526944</v>
      </c>
    </row>
    <row r="35" spans="1:3">
      <c r="A35" s="4">
        <v>10</v>
      </c>
      <c r="B35" s="4">
        <v>783889.07885005954</v>
      </c>
      <c r="C35" s="4">
        <v>-4878.1388500595931</v>
      </c>
    </row>
    <row r="36" spans="1:3">
      <c r="A36" s="4">
        <v>11</v>
      </c>
      <c r="B36" s="4">
        <v>773649.48393221176</v>
      </c>
      <c r="C36" s="4">
        <v>-50588.723932211753</v>
      </c>
    </row>
    <row r="37" spans="1:3">
      <c r="A37" s="4">
        <v>12</v>
      </c>
      <c r="B37" s="4">
        <v>847074.87187970581</v>
      </c>
      <c r="C37" s="4">
        <v>63717.068120294134</v>
      </c>
    </row>
    <row r="38" spans="1:3">
      <c r="A38" s="4">
        <v>13</v>
      </c>
      <c r="B38" s="4">
        <v>902197.42988693528</v>
      </c>
      <c r="C38" s="4">
        <v>19971.170113064698</v>
      </c>
    </row>
    <row r="39" spans="1:3">
      <c r="A39" s="4">
        <v>14</v>
      </c>
      <c r="B39" s="4">
        <v>805117.50733828056</v>
      </c>
      <c r="C39" s="4">
        <v>-78511.227338280529</v>
      </c>
    </row>
    <row r="40" spans="1:3">
      <c r="A40" s="4">
        <v>15</v>
      </c>
      <c r="B40" s="4">
        <v>763766.66932509025</v>
      </c>
      <c r="C40" s="4">
        <v>-17265.579325090279</v>
      </c>
    </row>
    <row r="41" spans="1:3">
      <c r="A41" s="4">
        <v>16</v>
      </c>
      <c r="B41" s="4">
        <v>836728.24286863999</v>
      </c>
      <c r="C41" s="4">
        <v>-2711.2228686399758</v>
      </c>
    </row>
    <row r="42" spans="1:3">
      <c r="A42" s="4">
        <v>17</v>
      </c>
      <c r="B42" s="4">
        <v>698190.44821357715</v>
      </c>
      <c r="C42" s="4">
        <v>-32037.928213577135</v>
      </c>
    </row>
    <row r="43" spans="1:3">
      <c r="A43" s="4">
        <v>18</v>
      </c>
      <c r="B43" s="4">
        <v>598506.02939661965</v>
      </c>
      <c r="C43" s="4">
        <v>-25350.839396619704</v>
      </c>
    </row>
    <row r="44" spans="1:3">
      <c r="A44" s="4">
        <v>19</v>
      </c>
      <c r="B44" s="4">
        <v>643995.51901423628</v>
      </c>
      <c r="C44" s="4">
        <v>22577.680985763669</v>
      </c>
    </row>
    <row r="45" spans="1:3">
      <c r="A45" s="4">
        <v>20</v>
      </c>
      <c r="B45" s="4">
        <v>619984.20410234923</v>
      </c>
      <c r="C45" s="4">
        <v>-28364.254102349281</v>
      </c>
    </row>
    <row r="46" spans="1:3">
      <c r="A46" s="4">
        <v>21</v>
      </c>
      <c r="B46" s="4">
        <v>547093.98662094481</v>
      </c>
      <c r="C46" s="4">
        <v>-131372.1666209448</v>
      </c>
    </row>
    <row r="47" spans="1:3">
      <c r="A47" s="4">
        <v>22</v>
      </c>
      <c r="B47" s="4">
        <v>522083.68683902384</v>
      </c>
      <c r="C47" s="4">
        <v>-30178.556839023833</v>
      </c>
    </row>
    <row r="48" spans="1:3">
      <c r="A48" s="4">
        <v>23</v>
      </c>
      <c r="B48" s="4">
        <v>566431.47946231591</v>
      </c>
      <c r="C48" s="4">
        <v>-10502.079462315887</v>
      </c>
    </row>
    <row r="49" spans="1:3">
      <c r="A49" s="4">
        <v>24</v>
      </c>
      <c r="B49" s="4">
        <v>539637.27812676295</v>
      </c>
      <c r="C49" s="4">
        <v>26173.711873237044</v>
      </c>
    </row>
    <row r="50" spans="1:3">
      <c r="A50" s="4">
        <v>25</v>
      </c>
      <c r="B50" s="4">
        <v>810968.70443419367</v>
      </c>
      <c r="C50" s="4">
        <v>802.43556580634322</v>
      </c>
    </row>
    <row r="51" spans="1:3">
      <c r="A51" s="4">
        <v>26</v>
      </c>
      <c r="B51" s="4">
        <v>764908.36631941481</v>
      </c>
      <c r="C51" s="4">
        <v>35543.573680585134</v>
      </c>
    </row>
    <row r="52" spans="1:3">
      <c r="A52" s="4">
        <v>27</v>
      </c>
      <c r="B52" s="4">
        <v>778751.44237559929</v>
      </c>
      <c r="C52" s="4">
        <v>4921.3776244006585</v>
      </c>
    </row>
    <row r="53" spans="1:3">
      <c r="A53" s="4">
        <v>28</v>
      </c>
      <c r="B53" s="4">
        <v>704113.00137163547</v>
      </c>
      <c r="C53" s="4">
        <v>-2471.0313716355013</v>
      </c>
    </row>
    <row r="54" spans="1:3">
      <c r="A54" s="4">
        <v>29</v>
      </c>
      <c r="B54" s="4">
        <v>588694.57085164357</v>
      </c>
      <c r="C54" s="4">
        <v>-76850.160851643595</v>
      </c>
    </row>
    <row r="55" spans="1:3">
      <c r="A55" s="4">
        <v>30</v>
      </c>
      <c r="B55" s="4">
        <v>531681.07719756418</v>
      </c>
      <c r="C55" s="4">
        <v>5702.7128024358535</v>
      </c>
    </row>
    <row r="56" spans="1:3">
      <c r="A56" s="4">
        <v>31</v>
      </c>
      <c r="B56" s="4">
        <v>534570.99771444802</v>
      </c>
      <c r="C56" s="4">
        <v>-34397.977714448003</v>
      </c>
    </row>
    <row r="57" spans="1:3">
      <c r="A57" s="4">
        <v>32</v>
      </c>
      <c r="B57" s="4">
        <v>481053.9511054873</v>
      </c>
      <c r="C57" s="4">
        <v>-53136.571105487295</v>
      </c>
    </row>
    <row r="58" spans="1:3">
      <c r="A58" s="4">
        <v>33</v>
      </c>
      <c r="B58" s="4">
        <v>782818.73791788029</v>
      </c>
      <c r="C58" s="4">
        <v>-140953.70791788027</v>
      </c>
    </row>
    <row r="59" spans="1:3">
      <c r="A59" s="4">
        <v>34</v>
      </c>
      <c r="B59" s="4">
        <v>863665.1563284836</v>
      </c>
      <c r="C59" s="4">
        <v>-64187.396328483592</v>
      </c>
    </row>
    <row r="60" spans="1:3">
      <c r="A60" s="4">
        <v>35</v>
      </c>
      <c r="B60" s="4">
        <v>783532.29853933305</v>
      </c>
      <c r="C60" s="4">
        <v>15419.871460666996</v>
      </c>
    </row>
    <row r="61" spans="1:3">
      <c r="A61" s="4">
        <v>36</v>
      </c>
      <c r="B61" s="4">
        <v>819353.04173626413</v>
      </c>
      <c r="C61" s="4">
        <v>-18373.261736264103</v>
      </c>
    </row>
    <row r="62" spans="1:3">
      <c r="A62" s="4">
        <v>37</v>
      </c>
      <c r="B62" s="4">
        <v>761733.0215539498</v>
      </c>
      <c r="C62" s="4">
        <v>58860.908446050249</v>
      </c>
    </row>
    <row r="63" spans="1:3">
      <c r="A63" s="4">
        <v>38</v>
      </c>
      <c r="B63" s="4">
        <v>737400.6043624091</v>
      </c>
      <c r="C63" s="4">
        <v>-19070.074362409068</v>
      </c>
    </row>
    <row r="64" spans="1:3">
      <c r="A64" s="4">
        <v>39</v>
      </c>
      <c r="B64" s="4">
        <v>716207.85390526056</v>
      </c>
      <c r="C64" s="4">
        <v>20425.54609473946</v>
      </c>
    </row>
    <row r="65" spans="1:3">
      <c r="A65" s="4">
        <v>40</v>
      </c>
      <c r="B65" s="4">
        <v>788848.32516915654</v>
      </c>
      <c r="C65" s="4">
        <v>39775.524830843438</v>
      </c>
    </row>
    <row r="66" spans="1:3">
      <c r="A66" s="4">
        <v>41</v>
      </c>
      <c r="B66" s="4">
        <v>576992.17665981757</v>
      </c>
      <c r="C66" s="4">
        <v>15203.673340182402</v>
      </c>
    </row>
    <row r="67" spans="1:3">
      <c r="A67" s="4">
        <v>42</v>
      </c>
      <c r="B67" s="4">
        <v>561543.58920536423</v>
      </c>
      <c r="C67" s="4">
        <v>-28899.129205364268</v>
      </c>
    </row>
    <row r="68" spans="1:3">
      <c r="A68" s="4">
        <v>43</v>
      </c>
      <c r="B68" s="4">
        <v>566288.76733802538</v>
      </c>
      <c r="C68" s="4">
        <v>91140.412661974668</v>
      </c>
    </row>
    <row r="69" spans="1:3">
      <c r="A69" s="4">
        <v>44</v>
      </c>
      <c r="B69" s="4">
        <v>576349.97210051003</v>
      </c>
      <c r="C69" s="4">
        <v>28828.027899489971</v>
      </c>
    </row>
    <row r="70" spans="1:3">
      <c r="A70" s="4">
        <v>45</v>
      </c>
      <c r="B70" s="4">
        <v>629974.05280268856</v>
      </c>
      <c r="C70" s="4">
        <v>-34506.452802688582</v>
      </c>
    </row>
    <row r="71" spans="1:3">
      <c r="A71" s="4">
        <v>46</v>
      </c>
      <c r="B71" s="4">
        <v>605534.60151792993</v>
      </c>
      <c r="C71" s="4">
        <v>-5931.2015179299051</v>
      </c>
    </row>
    <row r="72" spans="1:3">
      <c r="A72" s="4">
        <v>47</v>
      </c>
      <c r="B72" s="4">
        <v>582129.81313427771</v>
      </c>
      <c r="C72" s="4">
        <v>32670.276865722262</v>
      </c>
    </row>
    <row r="73" spans="1:3">
      <c r="A73" s="4">
        <v>48</v>
      </c>
      <c r="B73" s="4">
        <v>591762.88152389065</v>
      </c>
      <c r="C73" s="4">
        <v>-6397.1515238906723</v>
      </c>
    </row>
    <row r="74" spans="1:3">
      <c r="A74" s="4">
        <v>49</v>
      </c>
      <c r="B74" s="4">
        <v>628511.25352871034</v>
      </c>
      <c r="C74" s="4">
        <v>-5699.5135287103476</v>
      </c>
    </row>
    <row r="75" spans="1:3">
      <c r="A75" s="4">
        <v>50</v>
      </c>
      <c r="B75" s="4">
        <v>644744.75766676175</v>
      </c>
      <c r="C75" s="4">
        <v>-41447.187666761805</v>
      </c>
    </row>
    <row r="76" spans="1:3">
      <c r="A76" s="4">
        <v>51</v>
      </c>
      <c r="B76" s="4">
        <v>630152.4429580518</v>
      </c>
      <c r="C76" s="4">
        <v>-4479.5829580518184</v>
      </c>
    </row>
    <row r="77" spans="1:3">
      <c r="A77" s="4">
        <v>52</v>
      </c>
      <c r="B77" s="4">
        <v>702899.9483151657</v>
      </c>
      <c r="C77" s="4">
        <v>70915.19168483431</v>
      </c>
    </row>
    <row r="78" spans="1:3">
      <c r="A78" s="4">
        <v>53</v>
      </c>
      <c r="B78" s="4">
        <v>563398.84682114155</v>
      </c>
      <c r="C78" s="4">
        <v>-99864.596821141546</v>
      </c>
    </row>
    <row r="79" spans="1:3">
      <c r="A79" s="4">
        <v>54</v>
      </c>
      <c r="B79" s="4">
        <v>656447.15185858775</v>
      </c>
      <c r="C79" s="4">
        <v>90230.598141412251</v>
      </c>
    </row>
    <row r="80" spans="1:3">
      <c r="A80" s="4">
        <v>55</v>
      </c>
      <c r="B80" s="4">
        <v>643210.60233063821</v>
      </c>
      <c r="C80" s="4">
        <v>77641.897669361788</v>
      </c>
    </row>
    <row r="81" spans="1:3">
      <c r="A81" s="4">
        <v>56</v>
      </c>
      <c r="B81" s="4">
        <v>548556.78589492303</v>
      </c>
      <c r="C81" s="4">
        <v>-61091.875894923054</v>
      </c>
    </row>
    <row r="82" spans="1:3">
      <c r="A82" s="4">
        <v>57</v>
      </c>
      <c r="B82" s="4">
        <v>531252.94082469249</v>
      </c>
      <c r="C82" s="4">
        <v>-13203.680824692477</v>
      </c>
    </row>
    <row r="83" spans="1:3">
      <c r="A83" s="4">
        <v>58</v>
      </c>
      <c r="B83" s="4">
        <v>536140.83108164417</v>
      </c>
      <c r="C83" s="4">
        <v>-35842.351081644185</v>
      </c>
    </row>
    <row r="84" spans="1:3">
      <c r="A84" s="4">
        <v>59</v>
      </c>
      <c r="B84" s="4">
        <v>589907.62390811334</v>
      </c>
      <c r="C84" s="4">
        <v>27383.526091886684</v>
      </c>
    </row>
    <row r="85" spans="1:3">
      <c r="A85" s="4">
        <v>60</v>
      </c>
      <c r="B85" s="4">
        <v>602573.32493890077</v>
      </c>
      <c r="C85" s="4">
        <v>-48816.894938900718</v>
      </c>
    </row>
    <row r="86" spans="1:3">
      <c r="A86" s="4">
        <v>61</v>
      </c>
      <c r="B86" s="4">
        <v>635718.21580538375</v>
      </c>
      <c r="C86" s="4">
        <v>113841.49419461621</v>
      </c>
    </row>
    <row r="87" spans="1:3">
      <c r="A87" s="4">
        <v>62</v>
      </c>
      <c r="B87" s="4">
        <v>586553.8889872852</v>
      </c>
      <c r="C87" s="4">
        <v>29412.59101271478</v>
      </c>
    </row>
    <row r="88" spans="1:3">
      <c r="A88" s="4">
        <v>63</v>
      </c>
      <c r="B88" s="4">
        <v>583592.61240825604</v>
      </c>
      <c r="C88" s="4">
        <v>-11581.412408256088</v>
      </c>
    </row>
    <row r="89" spans="1:3">
      <c r="A89" s="4">
        <v>64</v>
      </c>
      <c r="B89" s="4">
        <v>682599.14863483328</v>
      </c>
      <c r="C89" s="4">
        <v>79261.04136516666</v>
      </c>
    </row>
    <row r="90" spans="1:3">
      <c r="A90" s="4">
        <v>65</v>
      </c>
      <c r="B90" s="4">
        <v>773756.51802542969</v>
      </c>
      <c r="C90" s="4">
        <v>10746.161974570365</v>
      </c>
    </row>
    <row r="91" spans="1:3">
      <c r="A91" s="4">
        <v>66</v>
      </c>
      <c r="B91" s="4">
        <v>729694.14965071867</v>
      </c>
      <c r="C91" s="4">
        <v>-12552.599650718621</v>
      </c>
    </row>
    <row r="92" spans="1:3">
      <c r="A92" s="4">
        <v>67</v>
      </c>
      <c r="B92" s="4">
        <v>789918.66610133578</v>
      </c>
      <c r="C92" s="4">
        <v>-104539.58610133582</v>
      </c>
    </row>
    <row r="93" spans="1:3">
      <c r="A93" s="4">
        <v>68</v>
      </c>
      <c r="B93" s="4">
        <v>742395.5287125787</v>
      </c>
      <c r="C93" s="4">
        <v>-1898.8787125786766</v>
      </c>
    </row>
    <row r="94" spans="1:3">
      <c r="A94" s="4">
        <v>69</v>
      </c>
      <c r="B94" s="4">
        <v>574673.10464009584</v>
      </c>
      <c r="C94" s="4">
        <v>87254.03535990417</v>
      </c>
    </row>
    <row r="95" spans="1:3">
      <c r="A95" s="4">
        <v>70</v>
      </c>
      <c r="B95" s="4">
        <v>547522.12299381651</v>
      </c>
      <c r="C95" s="4">
        <v>-68471.622993816505</v>
      </c>
    </row>
    <row r="96" spans="1:3">
      <c r="A96" s="4">
        <v>71</v>
      </c>
      <c r="B96" s="4">
        <v>560330.53614889446</v>
      </c>
      <c r="C96" s="4">
        <v>44693.333851105534</v>
      </c>
    </row>
    <row r="97" spans="1:3">
      <c r="A97" s="4">
        <v>72</v>
      </c>
      <c r="B97" s="4">
        <v>642104.58336738637</v>
      </c>
      <c r="C97" s="4">
        <v>32669.5066326136</v>
      </c>
    </row>
    <row r="98" spans="1:3">
      <c r="A98" s="4">
        <v>73</v>
      </c>
      <c r="B98" s="4">
        <v>657553.17082183971</v>
      </c>
      <c r="C98" s="4">
        <v>-41483.760821839678</v>
      </c>
    </row>
    <row r="99" spans="1:3">
      <c r="A99" s="4">
        <v>74</v>
      </c>
      <c r="B99" s="4">
        <v>689770.43288043397</v>
      </c>
      <c r="C99" s="4">
        <v>-58940.492880434031</v>
      </c>
    </row>
    <row r="100" spans="1:3">
      <c r="A100" s="4">
        <v>75</v>
      </c>
      <c r="B100" s="4">
        <v>689235.26241434435</v>
      </c>
      <c r="C100" s="4">
        <v>98852.417585655698</v>
      </c>
    </row>
    <row r="101" spans="1:3">
      <c r="A101" s="4">
        <v>76</v>
      </c>
      <c r="B101" s="4">
        <v>740825.69534538244</v>
      </c>
      <c r="C101" s="4">
        <v>-59985.335345382453</v>
      </c>
    </row>
    <row r="102" spans="1:3">
      <c r="A102" s="4">
        <v>77</v>
      </c>
      <c r="B102" s="4">
        <v>684097.62593988422</v>
      </c>
      <c r="C102" s="4">
        <v>-40440.155939884251</v>
      </c>
    </row>
    <row r="103" spans="1:3">
      <c r="A103" s="4">
        <v>78</v>
      </c>
      <c r="B103" s="4">
        <v>659123.00418903586</v>
      </c>
      <c r="C103" s="4">
        <v>31989.595810964121</v>
      </c>
    </row>
    <row r="104" spans="1:3">
      <c r="A104" s="4">
        <v>79</v>
      </c>
      <c r="B104" s="4">
        <v>712925.47504657763</v>
      </c>
      <c r="C104" s="4">
        <v>63996.694953422411</v>
      </c>
    </row>
    <row r="105" spans="1:3">
      <c r="A105" s="4">
        <v>80</v>
      </c>
      <c r="B105" s="4">
        <v>659551.14056190755</v>
      </c>
      <c r="C105" s="4">
        <v>-22989.800561907585</v>
      </c>
    </row>
    <row r="106" spans="1:3">
      <c r="A106" s="4">
        <v>81</v>
      </c>
      <c r="B106" s="4">
        <v>639428.73103693826</v>
      </c>
      <c r="C106" s="4">
        <v>-18059.151036938303</v>
      </c>
    </row>
    <row r="107" spans="1:3">
      <c r="A107" s="4">
        <v>82</v>
      </c>
      <c r="B107" s="4">
        <v>605213.49923827616</v>
      </c>
      <c r="C107" s="4">
        <v>76994.510761723854</v>
      </c>
    </row>
    <row r="108" spans="1:3">
      <c r="A108" s="4">
        <v>83</v>
      </c>
      <c r="B108" s="4">
        <v>612099.35923529579</v>
      </c>
      <c r="C108" s="4">
        <v>115142.50076470419</v>
      </c>
    </row>
    <row r="109" spans="1:3">
      <c r="A109" s="4">
        <v>84</v>
      </c>
      <c r="B109" s="4">
        <v>573388.69552148087</v>
      </c>
      <c r="C109" s="4">
        <v>-4287.9155214808416</v>
      </c>
    </row>
    <row r="110" spans="1:3">
      <c r="A110" s="4">
        <v>85</v>
      </c>
      <c r="B110" s="4">
        <v>556691.37697948515</v>
      </c>
      <c r="C110" s="4">
        <v>17744.913020514883</v>
      </c>
    </row>
    <row r="111" spans="1:3">
      <c r="A111" s="4">
        <v>86</v>
      </c>
      <c r="B111" s="4">
        <v>589265.41934880579</v>
      </c>
      <c r="C111" s="4">
        <v>22501.300651194178</v>
      </c>
    </row>
    <row r="112" spans="1:3">
      <c r="A112" s="4">
        <v>87</v>
      </c>
      <c r="B112" s="4">
        <v>581558.96463711548</v>
      </c>
      <c r="C112" s="4">
        <v>33037.355362884467</v>
      </c>
    </row>
    <row r="113" spans="1:3">
      <c r="A113" s="4">
        <v>88</v>
      </c>
      <c r="B113" s="4">
        <v>491364.9020854804</v>
      </c>
      <c r="C113" s="4">
        <v>-40652.982085480413</v>
      </c>
    </row>
    <row r="114" spans="1:3">
      <c r="A114" s="4">
        <v>89</v>
      </c>
      <c r="B114" s="4">
        <v>697013.07318817999</v>
      </c>
      <c r="C114" s="4">
        <v>14200.386811819975</v>
      </c>
    </row>
    <row r="115" spans="1:3">
      <c r="A115" s="4">
        <v>90</v>
      </c>
      <c r="B115" s="4">
        <v>639071.95072621189</v>
      </c>
      <c r="C115" s="4">
        <v>-11900.050726211863</v>
      </c>
    </row>
    <row r="116" spans="1:3">
      <c r="A116" s="4">
        <v>91</v>
      </c>
      <c r="B116" s="4">
        <v>660050.63299692445</v>
      </c>
      <c r="C116" s="4">
        <v>79801.947003075504</v>
      </c>
    </row>
    <row r="117" spans="1:3">
      <c r="A117" s="4">
        <v>92</v>
      </c>
      <c r="B117" s="4">
        <v>578454.97593379579</v>
      </c>
      <c r="C117" s="4">
        <v>7852.2440662041772</v>
      </c>
    </row>
    <row r="118" spans="1:3">
      <c r="A118" s="4">
        <v>93</v>
      </c>
      <c r="B118" s="4">
        <v>607282.8250404892</v>
      </c>
      <c r="C118" s="4">
        <v>-21345.345040489221</v>
      </c>
    </row>
    <row r="119" spans="1:3">
      <c r="A119" s="4">
        <v>94</v>
      </c>
      <c r="B119" s="4">
        <v>677497.19019144564</v>
      </c>
      <c r="C119" s="4">
        <v>75976.359808554407</v>
      </c>
    </row>
    <row r="120" spans="1:3">
      <c r="A120" s="4">
        <v>95</v>
      </c>
      <c r="B120" s="4">
        <v>730764.49058289791</v>
      </c>
      <c r="C120" s="4">
        <v>107485.82941710204</v>
      </c>
    </row>
    <row r="121" spans="1:3">
      <c r="A121" s="4">
        <v>96</v>
      </c>
      <c r="B121" s="4">
        <v>662512.41714093671</v>
      </c>
      <c r="C121" s="4">
        <v>-54614.297140936716</v>
      </c>
    </row>
    <row r="122" spans="1:3">
      <c r="A122" s="4">
        <v>97</v>
      </c>
      <c r="B122" s="4">
        <v>674535.91361241648</v>
      </c>
      <c r="C122" s="4">
        <v>16577.706387583516</v>
      </c>
    </row>
    <row r="123" spans="1:3">
      <c r="A123" s="4">
        <v>98</v>
      </c>
      <c r="B123" s="4">
        <v>630152.4429580518</v>
      </c>
      <c r="C123" s="4">
        <v>105356.95704194822</v>
      </c>
    </row>
    <row r="124" spans="1:3">
      <c r="A124" s="4">
        <v>99</v>
      </c>
      <c r="B124" s="4">
        <v>614525.46534823533</v>
      </c>
      <c r="C124" s="4">
        <v>-8750.1353482353734</v>
      </c>
    </row>
    <row r="125" spans="1:3">
      <c r="A125" s="4">
        <v>100</v>
      </c>
      <c r="B125" s="4">
        <v>634826.26502856775</v>
      </c>
      <c r="C125" s="4">
        <v>40351.414971432299</v>
      </c>
    </row>
    <row r="126" spans="1:3">
      <c r="A126" s="4">
        <v>101</v>
      </c>
      <c r="B126" s="4">
        <v>576349.97210051003</v>
      </c>
      <c r="C126" s="4">
        <v>58831.377899489948</v>
      </c>
    </row>
    <row r="127" spans="1:3">
      <c r="A127" s="4">
        <v>102</v>
      </c>
      <c r="B127" s="4">
        <v>602430.61281461013</v>
      </c>
      <c r="C127" s="4">
        <v>-15803.672814610181</v>
      </c>
    </row>
    <row r="128" spans="1:3">
      <c r="A128" s="4">
        <v>103</v>
      </c>
      <c r="B128" s="4">
        <v>690162.89122223307</v>
      </c>
      <c r="C128" s="4">
        <v>49939.748777766945</v>
      </c>
    </row>
    <row r="129" spans="1:3">
      <c r="A129" s="4">
        <v>104</v>
      </c>
      <c r="B129" s="4">
        <v>532537.34994330746</v>
      </c>
      <c r="C129" s="4">
        <v>92976.690056692576</v>
      </c>
    </row>
    <row r="130" spans="1:3">
      <c r="A130" s="4">
        <v>105</v>
      </c>
      <c r="B130" s="4">
        <v>709500.38406360417</v>
      </c>
      <c r="C130" s="4">
        <v>17726.815936395782</v>
      </c>
    </row>
    <row r="131" spans="1:3">
      <c r="A131" s="4">
        <v>106</v>
      </c>
      <c r="B131" s="4">
        <v>758200.89647775842</v>
      </c>
      <c r="C131" s="4">
        <v>25596.993522241595</v>
      </c>
    </row>
    <row r="132" spans="1:3">
      <c r="A132" s="4">
        <v>107</v>
      </c>
      <c r="B132" s="4">
        <v>695871.37619385554</v>
      </c>
      <c r="C132" s="4">
        <v>99282.463806144428</v>
      </c>
    </row>
    <row r="133" spans="1:3">
      <c r="A133" s="4">
        <v>108</v>
      </c>
      <c r="B133" s="4">
        <v>699974.34976720915</v>
      </c>
      <c r="C133" s="4">
        <v>-34379.409767209203</v>
      </c>
    </row>
    <row r="134" spans="1:3">
      <c r="A134" s="4">
        <v>109</v>
      </c>
      <c r="B134" s="4">
        <v>695264.8496656206</v>
      </c>
      <c r="C134" s="4">
        <v>14213.540334379417</v>
      </c>
    </row>
    <row r="135" spans="1:3">
      <c r="A135" s="4">
        <v>110</v>
      </c>
      <c r="B135" s="4">
        <v>642390.00761596742</v>
      </c>
      <c r="C135" s="4">
        <v>21772.48238403257</v>
      </c>
    </row>
    <row r="136" spans="1:3">
      <c r="A136" s="4">
        <v>111</v>
      </c>
      <c r="B136" s="4">
        <v>649275.86761298706</v>
      </c>
      <c r="C136" s="4">
        <v>-15781.657612987095</v>
      </c>
    </row>
    <row r="137" spans="1:3">
      <c r="A137" s="4">
        <v>112</v>
      </c>
      <c r="B137" s="4">
        <v>591370.42318209168</v>
      </c>
      <c r="C137" s="4">
        <v>122240.73681790836</v>
      </c>
    </row>
    <row r="138" spans="1:3">
      <c r="A138" s="4">
        <v>113</v>
      </c>
      <c r="B138" s="4">
        <v>766299.80953124771</v>
      </c>
      <c r="C138" s="4">
        <v>12098.160468752263</v>
      </c>
    </row>
    <row r="139" spans="1:3">
      <c r="A139" s="4">
        <v>114</v>
      </c>
      <c r="B139" s="4">
        <v>784959.41978223878</v>
      </c>
      <c r="C139" s="4">
        <v>88420.600217761239</v>
      </c>
    </row>
    <row r="140" spans="1:3">
      <c r="A140" s="4">
        <v>115</v>
      </c>
      <c r="B140" s="4">
        <v>775540.41957906168</v>
      </c>
      <c r="C140" s="4">
        <v>-78252.519579061656</v>
      </c>
    </row>
    <row r="141" spans="1:3">
      <c r="A141" s="4">
        <v>116</v>
      </c>
      <c r="B141" s="4">
        <v>776396.69232480507</v>
      </c>
      <c r="C141" s="4">
        <v>-58321.902324805036</v>
      </c>
    </row>
    <row r="142" spans="1:3">
      <c r="A142" s="4">
        <v>117</v>
      </c>
      <c r="B142" s="4">
        <v>725448.46395307453</v>
      </c>
      <c r="C142" s="4">
        <v>-10506.033953074482</v>
      </c>
    </row>
    <row r="143" spans="1:3">
      <c r="A143" s="4">
        <v>118</v>
      </c>
      <c r="B143" s="4">
        <v>747319.0970006031</v>
      </c>
      <c r="C143" s="4">
        <v>73199.942999396939</v>
      </c>
    </row>
    <row r="144" spans="1:3">
      <c r="A144" s="4">
        <v>119</v>
      </c>
      <c r="B144" s="4">
        <v>750101.98342426901</v>
      </c>
      <c r="C144" s="4">
        <v>-65884.663424269063</v>
      </c>
    </row>
    <row r="145" spans="1:3">
      <c r="A145" s="4">
        <v>120</v>
      </c>
      <c r="B145" s="4">
        <v>725270.07379771117</v>
      </c>
      <c r="C145" s="4">
        <v>10210.116202288773</v>
      </c>
    </row>
    <row r="146" spans="1:3">
      <c r="A146" s="4">
        <v>121</v>
      </c>
      <c r="B146" s="4">
        <v>583878.0366568371</v>
      </c>
      <c r="C146" s="4">
        <v>-74393.226656837098</v>
      </c>
    </row>
    <row r="147" spans="1:3">
      <c r="A147" s="4">
        <v>122</v>
      </c>
      <c r="B147" s="4">
        <v>578205.22971628723</v>
      </c>
      <c r="C147" s="4">
        <v>76111.86028371274</v>
      </c>
    </row>
    <row r="148" spans="1:3">
      <c r="A148" s="4">
        <v>123</v>
      </c>
      <c r="B148" s="4">
        <v>604214.51436824212</v>
      </c>
      <c r="C148" s="4">
        <v>-46727.254368242109</v>
      </c>
    </row>
    <row r="149" spans="1:3">
      <c r="A149" s="4">
        <v>124</v>
      </c>
      <c r="B149" s="4">
        <v>514412.91015840613</v>
      </c>
      <c r="C149" s="4">
        <v>-73137.490158406144</v>
      </c>
    </row>
    <row r="150" spans="1:3">
      <c r="A150" s="4">
        <v>125</v>
      </c>
      <c r="B150" s="4">
        <v>817319.39396512369</v>
      </c>
      <c r="C150" s="4">
        <v>97224.776034876355</v>
      </c>
    </row>
    <row r="151" spans="1:3">
      <c r="A151" s="4">
        <v>126</v>
      </c>
      <c r="B151" s="4">
        <v>841580.45509451907</v>
      </c>
      <c r="C151" s="4">
        <v>859.21490548097063</v>
      </c>
    </row>
    <row r="152" spans="1:3">
      <c r="A152" s="4">
        <v>127</v>
      </c>
      <c r="B152" s="4">
        <v>787992.05242341314</v>
      </c>
      <c r="C152" s="4">
        <v>54165.867576586897</v>
      </c>
    </row>
    <row r="153" spans="1:3">
      <c r="A153" s="4">
        <v>128</v>
      </c>
      <c r="B153" s="4">
        <v>739719.67638213071</v>
      </c>
      <c r="C153" s="4">
        <v>-42564.376382130664</v>
      </c>
    </row>
    <row r="154" spans="1:3">
      <c r="A154" s="4">
        <v>129</v>
      </c>
      <c r="B154" s="4">
        <v>825239.91686324985</v>
      </c>
      <c r="C154" s="4">
        <v>23778.383136750199</v>
      </c>
    </row>
    <row r="155" spans="1:3">
      <c r="A155" s="4">
        <v>130</v>
      </c>
      <c r="B155" s="4">
        <v>824455.00017965166</v>
      </c>
      <c r="C155" s="4">
        <v>-22624.650179651682</v>
      </c>
    </row>
    <row r="156" spans="1:3">
      <c r="A156" s="4">
        <v>131</v>
      </c>
      <c r="B156" s="4">
        <v>789597.56382168201</v>
      </c>
      <c r="C156" s="4">
        <v>-64362.28382168198</v>
      </c>
    </row>
    <row r="157" spans="1:3">
      <c r="A157" s="4">
        <v>132</v>
      </c>
      <c r="B157" s="4">
        <v>833017.72763708537</v>
      </c>
      <c r="C157" s="4">
        <v>-21565.007637085393</v>
      </c>
    </row>
    <row r="158" spans="1:3">
      <c r="A158" s="4">
        <v>133</v>
      </c>
      <c r="B158" s="4">
        <v>554978.83148799837</v>
      </c>
      <c r="C158" s="4">
        <v>-27678.701487998362</v>
      </c>
    </row>
    <row r="159" spans="1:3">
      <c r="A159" s="4">
        <v>134</v>
      </c>
      <c r="B159" s="4">
        <v>511130.53129972325</v>
      </c>
      <c r="C159" s="4">
        <v>-110298.88129972323</v>
      </c>
    </row>
    <row r="160" spans="1:3">
      <c r="A160" s="4">
        <v>135</v>
      </c>
      <c r="B160" s="4">
        <v>575493.69935476664</v>
      </c>
      <c r="C160" s="4">
        <v>17753.550645233365</v>
      </c>
    </row>
    <row r="161" spans="1:3">
      <c r="A161" s="4">
        <v>136</v>
      </c>
      <c r="B161" s="4">
        <v>516446.55792954669</v>
      </c>
      <c r="C161" s="4">
        <v>12629.392070453265</v>
      </c>
    </row>
    <row r="162" spans="1:3">
      <c r="A162" s="4">
        <v>137</v>
      </c>
      <c r="B162" s="4">
        <v>727838.89203494135</v>
      </c>
      <c r="C162" s="4">
        <v>-94200.862034941325</v>
      </c>
    </row>
    <row r="163" spans="1:3">
      <c r="A163" s="4">
        <v>138</v>
      </c>
      <c r="B163" s="4">
        <v>669184.2089515205</v>
      </c>
      <c r="C163" s="4">
        <v>74164.631048479467</v>
      </c>
    </row>
    <row r="164" spans="1:3">
      <c r="A164" s="4">
        <v>139</v>
      </c>
      <c r="B164" s="4">
        <v>679887.61827331258</v>
      </c>
      <c r="C164" s="4">
        <v>78940.021726687439</v>
      </c>
    </row>
    <row r="165" spans="1:3">
      <c r="A165" s="4">
        <v>140</v>
      </c>
      <c r="B165" s="4">
        <v>641391.0227459335</v>
      </c>
      <c r="C165" s="4">
        <v>5168.6872540664626</v>
      </c>
    </row>
    <row r="166" spans="1:3">
      <c r="A166" s="4">
        <v>141</v>
      </c>
      <c r="B166" s="4">
        <v>675713.28863781365</v>
      </c>
      <c r="C166" s="4">
        <v>40177.241362186382</v>
      </c>
    </row>
    <row r="167" spans="1:3">
      <c r="A167" s="4">
        <v>142</v>
      </c>
      <c r="B167" s="4">
        <v>685596.10324493505</v>
      </c>
      <c r="C167" s="4">
        <v>29501.466755064903</v>
      </c>
    </row>
    <row r="168" spans="1:3">
      <c r="A168" s="4">
        <v>143</v>
      </c>
      <c r="B168" s="4">
        <v>647813.06833900884</v>
      </c>
      <c r="C168" s="4">
        <v>34826.21166099119</v>
      </c>
    </row>
    <row r="169" spans="1:3">
      <c r="A169" s="4">
        <v>144</v>
      </c>
      <c r="B169" s="4">
        <v>663654.11413526116</v>
      </c>
      <c r="C169" s="4">
        <v>31444.39586473885</v>
      </c>
    </row>
    <row r="170" spans="1:3">
      <c r="A170" s="4">
        <v>145</v>
      </c>
      <c r="B170" s="4">
        <v>600254.25291917915</v>
      </c>
      <c r="C170" s="4">
        <v>-22521.682919179206</v>
      </c>
    </row>
    <row r="171" spans="1:3">
      <c r="A171" s="4">
        <v>146</v>
      </c>
      <c r="B171" s="4">
        <v>558867.73687491613</v>
      </c>
      <c r="C171" s="4">
        <v>-21809.406874916167</v>
      </c>
    </row>
    <row r="172" spans="1:3">
      <c r="A172" s="4">
        <v>147</v>
      </c>
      <c r="B172" s="4">
        <v>598363.31727232912</v>
      </c>
      <c r="C172" s="4">
        <v>3205.5527276708744</v>
      </c>
    </row>
    <row r="173" spans="1:3">
      <c r="A173" s="4">
        <v>148</v>
      </c>
      <c r="B173" s="4">
        <v>565931.98702729901</v>
      </c>
      <c r="C173" s="4">
        <v>5032.8529727009591</v>
      </c>
    </row>
    <row r="174" spans="1:3">
      <c r="A174" s="4">
        <v>149</v>
      </c>
      <c r="B174" s="4">
        <v>636538.81052005442</v>
      </c>
      <c r="C174" s="4">
        <v>-22513.900520054391</v>
      </c>
    </row>
    <row r="175" spans="1:3">
      <c r="A175" s="4">
        <v>150</v>
      </c>
      <c r="B175" s="4">
        <v>680137.36449082103</v>
      </c>
      <c r="C175" s="4">
        <v>32730.98550917895</v>
      </c>
    </row>
    <row r="176" spans="1:3">
      <c r="A176" s="4">
        <v>151</v>
      </c>
      <c r="B176" s="4">
        <v>644423.65538710798</v>
      </c>
      <c r="C176" s="4">
        <v>52320.494612892042</v>
      </c>
    </row>
    <row r="177" spans="1:3">
      <c r="A177" s="4">
        <v>152</v>
      </c>
      <c r="B177" s="4">
        <v>657303.42460433114</v>
      </c>
      <c r="C177" s="4">
        <v>68544.565395668847</v>
      </c>
    </row>
    <row r="178" spans="1:3">
      <c r="A178" s="4">
        <v>153</v>
      </c>
      <c r="B178" s="4">
        <v>791559.85553067725</v>
      </c>
      <c r="C178" s="4">
        <v>-6531.6055306772469</v>
      </c>
    </row>
    <row r="179" spans="1:3">
      <c r="A179" s="4">
        <v>154</v>
      </c>
      <c r="B179" s="4">
        <v>686880.51236355014</v>
      </c>
      <c r="C179" s="4">
        <v>11612.157636449905</v>
      </c>
    </row>
    <row r="180" spans="1:3">
      <c r="A180" s="4">
        <v>155</v>
      </c>
      <c r="B180" s="4">
        <v>722736.93359155371</v>
      </c>
      <c r="C180" s="4">
        <v>-36906.693591553718</v>
      </c>
    </row>
    <row r="181" spans="1:3">
      <c r="A181" s="4">
        <v>156</v>
      </c>
      <c r="B181" s="4">
        <v>720881.67597577651</v>
      </c>
      <c r="C181" s="4">
        <v>-18562.735975776566</v>
      </c>
    </row>
    <row r="182" spans="1:3">
      <c r="A182" s="4">
        <v>157</v>
      </c>
      <c r="B182" s="4">
        <v>675606.25454459572</v>
      </c>
      <c r="C182" s="4">
        <v>24472.065455404227</v>
      </c>
    </row>
    <row r="183" spans="1:3">
      <c r="A183" s="4">
        <v>158</v>
      </c>
      <c r="B183" s="4">
        <v>639071.95072621189</v>
      </c>
      <c r="C183" s="4">
        <v>-37069.630726211937</v>
      </c>
    </row>
    <row r="184" spans="1:3">
      <c r="A184" s="4">
        <v>159</v>
      </c>
      <c r="B184" s="4">
        <v>696691.97090852621</v>
      </c>
      <c r="C184" s="4">
        <v>27524.099091473734</v>
      </c>
    </row>
    <row r="185" spans="1:3">
      <c r="A185" s="4">
        <v>160</v>
      </c>
      <c r="B185" s="4">
        <v>583663.96847040125</v>
      </c>
      <c r="C185" s="4">
        <v>37309.061529598781</v>
      </c>
    </row>
    <row r="186" spans="1:3">
      <c r="A186" s="4">
        <v>161</v>
      </c>
      <c r="B186" s="4">
        <v>712390.30458048801</v>
      </c>
      <c r="C186" s="4">
        <v>-61910.244580487953</v>
      </c>
    </row>
    <row r="187" spans="1:3">
      <c r="A187" s="4">
        <v>162</v>
      </c>
      <c r="B187" s="4">
        <v>695871.37619385554</v>
      </c>
      <c r="C187" s="4">
        <v>82427.503806144465</v>
      </c>
    </row>
    <row r="188" spans="1:3">
      <c r="A188" s="4">
        <v>163</v>
      </c>
      <c r="B188" s="4">
        <v>733190.59669583745</v>
      </c>
      <c r="C188" s="4">
        <v>-56093.886695837486</v>
      </c>
    </row>
    <row r="189" spans="1:3">
      <c r="A189" s="4">
        <v>164</v>
      </c>
      <c r="B189" s="4">
        <v>662441.06107879139</v>
      </c>
      <c r="C189" s="4">
        <v>29567.578921208624</v>
      </c>
    </row>
    <row r="190" spans="1:3">
      <c r="A190" s="4">
        <v>165</v>
      </c>
      <c r="B190" s="4">
        <v>779036.86662418046</v>
      </c>
      <c r="C190" s="4">
        <v>46761.043375819572</v>
      </c>
    </row>
    <row r="191" spans="1:3">
      <c r="A191" s="4">
        <v>166</v>
      </c>
      <c r="B191" s="4">
        <v>759984.79803139041</v>
      </c>
      <c r="C191" s="4">
        <v>-53699.278031390393</v>
      </c>
    </row>
    <row r="192" spans="1:3">
      <c r="A192" s="4">
        <v>167</v>
      </c>
      <c r="B192" s="4">
        <v>693980.44054700551</v>
      </c>
      <c r="C192" s="4">
        <v>-28445.740547005553</v>
      </c>
    </row>
    <row r="193" spans="1:3">
      <c r="A193" s="4">
        <v>168</v>
      </c>
      <c r="B193" s="4">
        <v>783211.19625967939</v>
      </c>
      <c r="C193" s="4">
        <v>37518.093740320648</v>
      </c>
    </row>
    <row r="194" spans="1:3">
      <c r="A194" s="4">
        <v>169</v>
      </c>
      <c r="B194" s="4">
        <v>780856.44620888517</v>
      </c>
      <c r="C194" s="4">
        <v>-41024.716208885191</v>
      </c>
    </row>
    <row r="195" spans="1:3">
      <c r="A195" s="4">
        <v>170</v>
      </c>
      <c r="B195" s="4">
        <v>716707.34634027747</v>
      </c>
      <c r="C195" s="4">
        <v>-123070.20634027745</v>
      </c>
    </row>
    <row r="196" spans="1:3">
      <c r="A196" s="4">
        <v>171</v>
      </c>
      <c r="B196" s="4">
        <v>765693.28300301288</v>
      </c>
      <c r="C196" s="4">
        <v>4009.4769969871268</v>
      </c>
    </row>
    <row r="197" spans="1:3">
      <c r="A197" s="4">
        <v>172</v>
      </c>
      <c r="B197" s="4">
        <v>720096.75929217832</v>
      </c>
      <c r="C197" s="4">
        <v>-40365.189292178373</v>
      </c>
    </row>
    <row r="198" spans="1:3">
      <c r="A198" s="4">
        <v>173</v>
      </c>
      <c r="B198" s="4">
        <v>758272.25253990362</v>
      </c>
      <c r="C198" s="4">
        <v>22071.927460096427</v>
      </c>
    </row>
    <row r="199" spans="1:3">
      <c r="A199" s="4">
        <v>174</v>
      </c>
      <c r="B199" s="4">
        <v>784638.31750258501</v>
      </c>
      <c r="C199" s="4">
        <v>-63274.207502585021</v>
      </c>
    </row>
    <row r="200" spans="1:3">
      <c r="A200" s="4">
        <v>175</v>
      </c>
      <c r="B200" s="4">
        <v>796982.91625371855</v>
      </c>
      <c r="C200" s="4">
        <v>-38844.62625371851</v>
      </c>
    </row>
    <row r="201" spans="1:3">
      <c r="A201" s="4">
        <v>176</v>
      </c>
      <c r="B201" s="4">
        <v>817533.46215155954</v>
      </c>
      <c r="C201" s="4">
        <v>-13269.462151559535</v>
      </c>
    </row>
    <row r="202" spans="1:3">
      <c r="A202" s="4">
        <v>177</v>
      </c>
      <c r="B202" s="4">
        <v>887426.7250228622</v>
      </c>
      <c r="C202" s="4">
        <v>111.02497713780031</v>
      </c>
    </row>
    <row r="203" spans="1:3">
      <c r="A203" s="4">
        <v>178</v>
      </c>
      <c r="B203" s="4">
        <v>729158.97918462905</v>
      </c>
      <c r="C203" s="4">
        <v>54423.020815370954</v>
      </c>
    </row>
    <row r="204" spans="1:3">
      <c r="A204" s="4">
        <v>179</v>
      </c>
      <c r="B204" s="4">
        <v>762874.71854827437</v>
      </c>
      <c r="C204" s="4">
        <v>19080.801451725652</v>
      </c>
    </row>
    <row r="205" spans="1:3">
      <c r="A205" s="4">
        <v>180</v>
      </c>
      <c r="B205" s="4">
        <v>803155.21562928543</v>
      </c>
      <c r="C205" s="4">
        <v>94875.824370714603</v>
      </c>
    </row>
    <row r="206" spans="1:3">
      <c r="A206" s="4">
        <v>181</v>
      </c>
      <c r="B206" s="4">
        <v>844363.3415181851</v>
      </c>
      <c r="C206" s="4">
        <v>10977.938481814926</v>
      </c>
    </row>
    <row r="207" spans="1:3">
      <c r="A207" s="4">
        <v>182</v>
      </c>
      <c r="B207" s="4">
        <v>777752.45750556537</v>
      </c>
      <c r="C207" s="4">
        <v>-26358.577505565365</v>
      </c>
    </row>
    <row r="208" spans="1:3">
      <c r="A208" s="4">
        <v>183</v>
      </c>
      <c r="B208" s="4">
        <v>796483.42381870165</v>
      </c>
      <c r="C208" s="4">
        <v>-35406.343818701687</v>
      </c>
    </row>
    <row r="209" spans="1:3">
      <c r="A209" s="4">
        <v>184</v>
      </c>
      <c r="B209" s="4">
        <v>829628.31468518462</v>
      </c>
      <c r="C209" s="4">
        <v>-9967.7246851846576</v>
      </c>
    </row>
    <row r="210" spans="1:3">
      <c r="A210" s="4">
        <v>185</v>
      </c>
      <c r="B210" s="4">
        <v>663475.72397989803</v>
      </c>
      <c r="C210" s="4">
        <v>18379.836020102026</v>
      </c>
    </row>
    <row r="211" spans="1:3">
      <c r="A211" s="4">
        <v>186</v>
      </c>
      <c r="B211" s="4">
        <v>633791.60212746111</v>
      </c>
      <c r="C211" s="4">
        <v>44519.56787253893</v>
      </c>
    </row>
    <row r="212" spans="1:3">
      <c r="A212" s="4">
        <v>187</v>
      </c>
      <c r="B212" s="4">
        <v>678888.63340327865</v>
      </c>
      <c r="C212" s="4">
        <v>87018.316596721299</v>
      </c>
    </row>
    <row r="213" spans="1:3">
      <c r="A213" s="4">
        <v>188</v>
      </c>
      <c r="B213" s="4">
        <v>729408.7254021375</v>
      </c>
      <c r="C213" s="4">
        <v>-16862.345402137493</v>
      </c>
    </row>
    <row r="214" spans="1:3">
      <c r="A214" s="4">
        <v>189</v>
      </c>
      <c r="B214" s="4">
        <v>571497.75987463084</v>
      </c>
      <c r="C214" s="4">
        <v>54496.070125369122</v>
      </c>
    </row>
    <row r="215" spans="1:3">
      <c r="A215" s="4">
        <v>190</v>
      </c>
      <c r="B215" s="4">
        <v>528898.19077389815</v>
      </c>
      <c r="C215" s="4">
        <v>22064.739226101898</v>
      </c>
    </row>
    <row r="216" spans="1:3">
      <c r="A216" s="4">
        <v>191</v>
      </c>
      <c r="B216" s="4">
        <v>491650.32633406157</v>
      </c>
      <c r="C216" s="4">
        <v>-48374.736334061541</v>
      </c>
    </row>
    <row r="217" spans="1:3">
      <c r="A217" s="4">
        <v>192</v>
      </c>
      <c r="B217" s="4">
        <v>604214.51436824212</v>
      </c>
      <c r="C217" s="4">
        <v>-50202.44436824217</v>
      </c>
    </row>
    <row r="218" spans="1:3">
      <c r="A218" s="4">
        <v>193</v>
      </c>
      <c r="B218" s="4">
        <v>666793.78086965356</v>
      </c>
      <c r="C218" s="4">
        <v>-23364.930869653588</v>
      </c>
    </row>
    <row r="219" spans="1:3">
      <c r="A219" s="4">
        <v>194</v>
      </c>
      <c r="B219" s="4">
        <v>630152.4429580518</v>
      </c>
      <c r="C219" s="4">
        <v>-18228.172958051786</v>
      </c>
    </row>
    <row r="220" spans="1:3">
      <c r="A220" s="4">
        <v>195</v>
      </c>
      <c r="B220" s="4">
        <v>581380.57448175224</v>
      </c>
      <c r="C220" s="4">
        <v>-21958.554481752217</v>
      </c>
    </row>
    <row r="221" spans="1:3">
      <c r="A221" s="4">
        <v>196</v>
      </c>
      <c r="B221" s="4">
        <v>558261.2103466813</v>
      </c>
      <c r="C221" s="4">
        <v>-108796.1503466813</v>
      </c>
    </row>
    <row r="222" spans="1:3">
      <c r="A222" s="4">
        <v>197</v>
      </c>
      <c r="B222" s="4">
        <v>623730.39736497658</v>
      </c>
      <c r="C222" s="4">
        <v>67717.032635023468</v>
      </c>
    </row>
    <row r="223" spans="1:3">
      <c r="A223" s="4">
        <v>198</v>
      </c>
      <c r="B223" s="4">
        <v>602180.86659710167</v>
      </c>
      <c r="C223" s="4">
        <v>-28114.256597101688</v>
      </c>
    </row>
    <row r="224" spans="1:3">
      <c r="A224" s="4">
        <v>199</v>
      </c>
      <c r="B224" s="4">
        <v>625228.87467002741</v>
      </c>
      <c r="C224" s="4">
        <v>-46279.034670027439</v>
      </c>
    </row>
    <row r="225" spans="1:3">
      <c r="A225" s="4">
        <v>200</v>
      </c>
      <c r="B225" s="4">
        <v>645315.60616392398</v>
      </c>
      <c r="C225" s="4">
        <v>90471.033836076036</v>
      </c>
    </row>
    <row r="226" spans="1:3">
      <c r="A226" s="4">
        <v>201</v>
      </c>
      <c r="B226" s="4">
        <v>658873.2579715274</v>
      </c>
      <c r="C226" s="4">
        <v>-59968.357971527381</v>
      </c>
    </row>
    <row r="227" spans="1:3">
      <c r="A227" s="4">
        <v>202</v>
      </c>
      <c r="B227" s="4">
        <v>674357.52345705335</v>
      </c>
      <c r="C227" s="4">
        <v>113357.98654294666</v>
      </c>
    </row>
    <row r="228" spans="1:3">
      <c r="A228" s="4">
        <v>203</v>
      </c>
      <c r="B228" s="4">
        <v>692446.28521088208</v>
      </c>
      <c r="C228" s="4">
        <v>-85361.365210882039</v>
      </c>
    </row>
    <row r="229" spans="1:3">
      <c r="A229" s="4">
        <v>204</v>
      </c>
      <c r="B229" s="4">
        <v>661013.93983588577</v>
      </c>
      <c r="C229" s="4">
        <v>-10218.449835885782</v>
      </c>
    </row>
    <row r="230" spans="1:3">
      <c r="A230" s="4">
        <v>205</v>
      </c>
      <c r="B230" s="4">
        <v>784495.60537829436</v>
      </c>
      <c r="C230" s="4">
        <v>40564.914621705655</v>
      </c>
    </row>
    <row r="231" spans="1:3">
      <c r="A231" s="4">
        <v>206</v>
      </c>
      <c r="B231" s="4">
        <v>727375.07763099705</v>
      </c>
      <c r="C231" s="4">
        <v>68089.392369002919</v>
      </c>
    </row>
    <row r="232" spans="1:3">
      <c r="A232" s="4">
        <v>207</v>
      </c>
      <c r="B232" s="4">
        <v>777609.74538127473</v>
      </c>
      <c r="C232" s="4">
        <v>-105741.15538127476</v>
      </c>
    </row>
    <row r="233" spans="1:3">
      <c r="A233" s="4">
        <v>208</v>
      </c>
      <c r="B233" s="4">
        <v>742645.27493008715</v>
      </c>
      <c r="C233" s="4">
        <v>-66727.644930087146</v>
      </c>
    </row>
    <row r="234" spans="1:3">
      <c r="A234" s="4">
        <v>209</v>
      </c>
      <c r="B234" s="4">
        <v>807650.64754443802</v>
      </c>
      <c r="C234" s="4">
        <v>2795.8824555620085</v>
      </c>
    </row>
    <row r="235" spans="1:3">
      <c r="A235" s="4">
        <v>210</v>
      </c>
      <c r="B235" s="4">
        <v>783853.40081898682</v>
      </c>
      <c r="C235" s="4">
        <v>-92565.210818986874</v>
      </c>
    </row>
    <row r="236" spans="1:3">
      <c r="A236" s="4">
        <v>211</v>
      </c>
      <c r="B236" s="4">
        <v>905586.84283883614</v>
      </c>
      <c r="C236" s="4">
        <v>41246.697161163902</v>
      </c>
    </row>
    <row r="237" spans="1:3">
      <c r="A237" s="4">
        <v>212</v>
      </c>
      <c r="B237" s="4">
        <v>794342.74195434316</v>
      </c>
      <c r="C237" s="4">
        <v>-32379.511954343179</v>
      </c>
    </row>
    <row r="238" spans="1:3">
      <c r="A238" s="4">
        <v>213</v>
      </c>
      <c r="B238" s="4">
        <v>785530.268279401</v>
      </c>
      <c r="C238" s="4">
        <v>26622.331720598973</v>
      </c>
    </row>
    <row r="239" spans="1:3">
      <c r="A239" s="4">
        <v>214</v>
      </c>
      <c r="B239" s="4">
        <v>782212.21138964547</v>
      </c>
      <c r="C239" s="4">
        <v>22763.288610354532</v>
      </c>
    </row>
    <row r="240" spans="1:3">
      <c r="A240" s="4">
        <v>215</v>
      </c>
      <c r="B240" s="4">
        <v>790489.514598498</v>
      </c>
      <c r="C240" s="4">
        <v>-38167.794598498032</v>
      </c>
    </row>
    <row r="241" spans="1:3">
      <c r="A241" s="4">
        <v>216</v>
      </c>
      <c r="B241" s="4">
        <v>846860.80369326996</v>
      </c>
      <c r="C241" s="4">
        <v>-9952.5636932699708</v>
      </c>
    </row>
    <row r="242" spans="1:3">
      <c r="A242" s="4">
        <v>217</v>
      </c>
      <c r="B242" s="4">
        <v>638857.88253977604</v>
      </c>
      <c r="C242" s="4">
        <v>35431.217460223939</v>
      </c>
    </row>
    <row r="243" spans="1:3">
      <c r="A243" s="4">
        <v>218</v>
      </c>
      <c r="B243" s="4">
        <v>625300.23073217273</v>
      </c>
      <c r="C243" s="4">
        <v>-2407.8107321726857</v>
      </c>
    </row>
    <row r="244" spans="1:3">
      <c r="A244" s="4">
        <v>219</v>
      </c>
      <c r="B244" s="4">
        <v>605784.34773543838</v>
      </c>
      <c r="C244" s="4">
        <v>67564.212264561676</v>
      </c>
    </row>
    <row r="245" spans="1:3">
      <c r="A245" s="4">
        <v>220</v>
      </c>
      <c r="B245" s="4">
        <v>613312.41229176545</v>
      </c>
      <c r="C245" s="4">
        <v>-7034.1122917653993</v>
      </c>
    </row>
    <row r="246" spans="1:3">
      <c r="A246" s="4">
        <v>221</v>
      </c>
      <c r="B246" s="4">
        <v>706539.10748457501</v>
      </c>
      <c r="C246" s="4">
        <v>5680.7025154250441</v>
      </c>
    </row>
    <row r="247" spans="1:3">
      <c r="A247" s="4">
        <v>222</v>
      </c>
      <c r="B247" s="4">
        <v>710570.72499578341</v>
      </c>
      <c r="C247" s="4">
        <v>-37900.184995783377</v>
      </c>
    </row>
    <row r="248" spans="1:3">
      <c r="A248" s="4">
        <v>223</v>
      </c>
      <c r="B248" s="4">
        <v>727553.4677863603</v>
      </c>
      <c r="C248" s="4">
        <v>5114.4522136397427</v>
      </c>
    </row>
    <row r="249" spans="1:3">
      <c r="A249" s="4">
        <v>224</v>
      </c>
      <c r="B249" s="4">
        <v>759413.94953422819</v>
      </c>
      <c r="C249" s="4">
        <v>-35882.549534228165</v>
      </c>
    </row>
    <row r="250" spans="1:3">
      <c r="A250" s="4">
        <v>225</v>
      </c>
      <c r="B250" s="4">
        <v>614561.14337930793</v>
      </c>
      <c r="C250" s="4">
        <v>27003.456620692043</v>
      </c>
    </row>
    <row r="251" spans="1:3">
      <c r="A251" s="4">
        <v>226</v>
      </c>
      <c r="B251" s="4">
        <v>547807.54724239768</v>
      </c>
      <c r="C251" s="4">
        <v>-11262.057242397685</v>
      </c>
    </row>
    <row r="252" spans="1:3">
      <c r="A252" s="4">
        <v>227</v>
      </c>
      <c r="B252" s="4">
        <v>584555.91924721724</v>
      </c>
      <c r="C252" s="4">
        <v>-56874.359247217188</v>
      </c>
    </row>
    <row r="253" spans="1:3">
      <c r="A253" s="4">
        <v>228</v>
      </c>
      <c r="B253" s="4">
        <v>495467.87565883406</v>
      </c>
      <c r="C253" s="4">
        <v>34131.064341165882</v>
      </c>
    </row>
    <row r="254" spans="1:3">
      <c r="A254" s="4">
        <v>229</v>
      </c>
      <c r="B254" s="4">
        <v>658944.61403367261</v>
      </c>
      <c r="C254" s="4">
        <v>-87981.304033672553</v>
      </c>
    </row>
    <row r="255" spans="1:3">
      <c r="A255" s="4">
        <v>230</v>
      </c>
      <c r="B255" s="4">
        <v>766121.41937588458</v>
      </c>
      <c r="C255" s="4">
        <v>104815.98062411544</v>
      </c>
    </row>
    <row r="256" spans="1:3">
      <c r="A256" s="4">
        <v>231</v>
      </c>
      <c r="B256" s="4">
        <v>679923.29630438518</v>
      </c>
      <c r="C256" s="4">
        <v>-82954.026304385159</v>
      </c>
    </row>
    <row r="257" spans="1:3">
      <c r="A257" s="4">
        <v>232</v>
      </c>
      <c r="B257" s="4">
        <v>641105.59849735245</v>
      </c>
      <c r="C257" s="4">
        <v>6407.2515026475303</v>
      </c>
    </row>
    <row r="258" spans="1:3">
      <c r="A258" s="4">
        <v>233</v>
      </c>
      <c r="B258" s="4">
        <v>598541.70742769237</v>
      </c>
      <c r="C258" s="4">
        <v>59530.432572307647</v>
      </c>
    </row>
    <row r="259" spans="1:3">
      <c r="A259" s="4">
        <v>234</v>
      </c>
      <c r="B259" s="4">
        <v>636253.38627147325</v>
      </c>
      <c r="C259" s="4">
        <v>87051.723728526733</v>
      </c>
    </row>
    <row r="260" spans="1:3">
      <c r="A260" s="4">
        <v>235</v>
      </c>
      <c r="B260" s="4">
        <v>641890.51518095052</v>
      </c>
      <c r="C260" s="4">
        <v>-1223.9851809504908</v>
      </c>
    </row>
    <row r="261" spans="1:3">
      <c r="A261" s="4">
        <v>236</v>
      </c>
      <c r="B261" s="4">
        <v>666508.35662107239</v>
      </c>
      <c r="C261" s="4">
        <v>4121.1233789275866</v>
      </c>
    </row>
    <row r="262" spans="1:3">
      <c r="A262" s="4">
        <v>237</v>
      </c>
      <c r="B262" s="4">
        <v>799908.5148016751</v>
      </c>
      <c r="C262" s="4">
        <v>-78829.164801675128</v>
      </c>
    </row>
    <row r="263" spans="1:3">
      <c r="A263" s="4">
        <v>238</v>
      </c>
      <c r="B263" s="4">
        <v>803048.18153606751</v>
      </c>
      <c r="C263" s="4">
        <v>7306.8384639325086</v>
      </c>
    </row>
    <row r="264" spans="1:3">
      <c r="A264" s="4">
        <v>239</v>
      </c>
      <c r="B264" s="4">
        <v>792558.84040071117</v>
      </c>
      <c r="C264" s="4">
        <v>-30639.590400711168</v>
      </c>
    </row>
    <row r="265" spans="1:3">
      <c r="A265" s="4">
        <v>240</v>
      </c>
      <c r="B265" s="4">
        <v>778715.76434452669</v>
      </c>
      <c r="C265" s="4">
        <v>-41645.584344526636</v>
      </c>
    </row>
    <row r="266" spans="1:3">
      <c r="A266" s="4">
        <v>241</v>
      </c>
      <c r="B266" s="4">
        <v>733797.12322407239</v>
      </c>
      <c r="C266" s="4">
        <v>43195.80677592766</v>
      </c>
    </row>
    <row r="267" spans="1:3">
      <c r="A267" s="4">
        <v>242</v>
      </c>
      <c r="B267" s="4">
        <v>647920.10243222676</v>
      </c>
      <c r="C267" s="4">
        <v>28417.30756777327</v>
      </c>
    </row>
    <row r="268" spans="1:3">
      <c r="A268" s="4">
        <v>243</v>
      </c>
      <c r="B268" s="4">
        <v>805902.42402187875</v>
      </c>
      <c r="C268" s="4">
        <v>22317.245978121297</v>
      </c>
    </row>
    <row r="269" spans="1:3">
      <c r="A269" s="4">
        <v>244</v>
      </c>
      <c r="B269" s="4">
        <v>731977.54363936768</v>
      </c>
      <c r="C269" s="4">
        <v>31182.376360632363</v>
      </c>
    </row>
    <row r="270" spans="1:3">
      <c r="A270" s="4">
        <v>245</v>
      </c>
      <c r="B270" s="4">
        <v>765158.11253692326</v>
      </c>
      <c r="C270" s="4">
        <v>36843.56746307679</v>
      </c>
    </row>
    <row r="271" spans="1:3">
      <c r="A271" s="4">
        <v>246</v>
      </c>
      <c r="B271" s="4">
        <v>757986.82829132257</v>
      </c>
      <c r="C271" s="4">
        <v>-7515.4882913226029</v>
      </c>
    </row>
    <row r="272" spans="1:3">
      <c r="A272" s="4">
        <v>247</v>
      </c>
      <c r="B272" s="4">
        <v>709500.38406360417</v>
      </c>
      <c r="C272" s="4">
        <v>-30269.524063604185</v>
      </c>
    </row>
    <row r="273" spans="1:3">
      <c r="A273" s="4">
        <v>248</v>
      </c>
      <c r="B273" s="4">
        <v>736080.51721272129</v>
      </c>
      <c r="C273" s="4">
        <v>-56191.777212721296</v>
      </c>
    </row>
    <row r="274" spans="1:3">
      <c r="A274" s="4">
        <v>249</v>
      </c>
      <c r="B274" s="4">
        <v>584662.95334043517</v>
      </c>
      <c r="C274" s="4">
        <v>22120.716659564874</v>
      </c>
    </row>
    <row r="275" spans="1:3">
      <c r="A275" s="4">
        <v>250</v>
      </c>
      <c r="B275" s="4">
        <v>652094.43206772569</v>
      </c>
      <c r="C275" s="4">
        <v>-9343.0120677256491</v>
      </c>
    </row>
    <row r="276" spans="1:3">
      <c r="A276" s="4">
        <v>251</v>
      </c>
      <c r="B276" s="4">
        <v>671967.09537518641</v>
      </c>
      <c r="C276" s="4">
        <v>-24013.315375186387</v>
      </c>
    </row>
    <row r="277" spans="1:3">
      <c r="A277" s="4">
        <v>252</v>
      </c>
      <c r="B277" s="4">
        <v>690448.31547081424</v>
      </c>
      <c r="C277" s="4">
        <v>38992.134529185714</v>
      </c>
    </row>
    <row r="278" spans="1:3">
      <c r="A278" s="4">
        <v>253</v>
      </c>
      <c r="B278" s="4">
        <v>688378.98966860096</v>
      </c>
      <c r="C278" s="4">
        <v>76570.01033139904</v>
      </c>
    </row>
    <row r="279" spans="1:3">
      <c r="A279" s="4">
        <v>254</v>
      </c>
      <c r="B279" s="4">
        <v>691019.16396797635</v>
      </c>
      <c r="C279" s="4">
        <v>108027.7760320236</v>
      </c>
    </row>
    <row r="280" spans="1:3">
      <c r="A280" s="4">
        <v>255</v>
      </c>
      <c r="B280" s="4">
        <v>647670.35621471819</v>
      </c>
      <c r="C280" s="4">
        <v>72409.183785281843</v>
      </c>
    </row>
    <row r="281" spans="1:3">
      <c r="A281" s="4">
        <v>256</v>
      </c>
      <c r="B281" s="4">
        <v>652879.34875132376</v>
      </c>
      <c r="C281" s="4">
        <v>-40489.208751323749</v>
      </c>
    </row>
    <row r="282" spans="1:3">
      <c r="A282" s="4">
        <v>257</v>
      </c>
      <c r="B282" s="4">
        <v>737721.70664206275</v>
      </c>
      <c r="C282" s="4">
        <v>102386.41335793724</v>
      </c>
    </row>
    <row r="283" spans="1:3">
      <c r="A283" s="4">
        <v>258</v>
      </c>
      <c r="B283" s="4">
        <v>716635.99027813226</v>
      </c>
      <c r="C283" s="4">
        <v>-18747.900278132292</v>
      </c>
    </row>
    <row r="284" spans="1:3">
      <c r="A284" s="4">
        <v>259</v>
      </c>
      <c r="B284" s="4">
        <v>754454.70321513107</v>
      </c>
      <c r="C284" s="4">
        <v>-8339.1132151311031</v>
      </c>
    </row>
    <row r="285" spans="1:3">
      <c r="A285" s="4">
        <v>260</v>
      </c>
      <c r="B285" s="4">
        <v>725983.63441916415</v>
      </c>
      <c r="C285" s="4">
        <v>50126.685580835794</v>
      </c>
    </row>
    <row r="286" spans="1:3">
      <c r="A286" s="4">
        <v>261</v>
      </c>
      <c r="B286" s="4">
        <v>555121.54361228889</v>
      </c>
      <c r="C286" s="4">
        <v>-26268.923612288898</v>
      </c>
    </row>
    <row r="287" spans="1:3">
      <c r="A287" s="4">
        <v>262</v>
      </c>
      <c r="B287" s="4">
        <v>617058.60555439279</v>
      </c>
      <c r="C287" s="4">
        <v>-11307.275554392836</v>
      </c>
    </row>
    <row r="288" spans="1:3">
      <c r="A288" s="4">
        <v>263</v>
      </c>
      <c r="B288" s="4">
        <v>621304.29125203693</v>
      </c>
      <c r="C288" s="4">
        <v>56336.358747963095</v>
      </c>
    </row>
    <row r="289" spans="1:3">
      <c r="A289" s="4">
        <v>264</v>
      </c>
      <c r="B289" s="4">
        <v>589907.62390811334</v>
      </c>
      <c r="C289" s="4">
        <v>46705.606091886642</v>
      </c>
    </row>
    <row r="290" spans="1:3">
      <c r="A290" s="4">
        <v>265</v>
      </c>
      <c r="B290" s="4">
        <v>707716.48250997218</v>
      </c>
      <c r="C290" s="4">
        <v>1268.7074900277657</v>
      </c>
    </row>
    <row r="291" spans="1:3">
      <c r="A291" s="4">
        <v>266</v>
      </c>
      <c r="B291" s="4">
        <v>736437.29752344778</v>
      </c>
      <c r="C291" s="4">
        <v>31355.642476552166</v>
      </c>
    </row>
    <row r="292" spans="1:3">
      <c r="A292" s="4">
        <v>267</v>
      </c>
      <c r="B292" s="4">
        <v>730728.81255182531</v>
      </c>
      <c r="C292" s="4">
        <v>14851.697448174702</v>
      </c>
    </row>
    <row r="293" spans="1:3">
      <c r="A293" s="4">
        <v>268</v>
      </c>
      <c r="B293" s="4">
        <v>704719.52789987042</v>
      </c>
      <c r="C293" s="4">
        <v>57608.78210012964</v>
      </c>
    </row>
    <row r="294" spans="1:3">
      <c r="A294" s="4">
        <v>269</v>
      </c>
      <c r="B294" s="4">
        <v>733690.08913085447</v>
      </c>
      <c r="C294" s="4">
        <v>-73056.099130854476</v>
      </c>
    </row>
    <row r="295" spans="1:3">
      <c r="A295" s="4">
        <v>270</v>
      </c>
      <c r="B295" s="4">
        <v>732477.03607438458</v>
      </c>
      <c r="C295" s="4">
        <v>6897.5239256154746</v>
      </c>
    </row>
    <row r="296" spans="1:3">
      <c r="A296" s="4">
        <v>271</v>
      </c>
      <c r="B296" s="4">
        <v>810041.07562630507</v>
      </c>
      <c r="C296" s="4">
        <v>-10284.615626305109</v>
      </c>
    </row>
    <row r="297" spans="1:3">
      <c r="A297" s="4">
        <v>272</v>
      </c>
      <c r="B297" s="4">
        <v>712069.20230083424</v>
      </c>
      <c r="C297" s="4">
        <v>-118726.20230083424</v>
      </c>
    </row>
    <row r="298" spans="1:3">
      <c r="A298" s="4">
        <v>273</v>
      </c>
      <c r="B298" s="4">
        <v>649382.90170620498</v>
      </c>
      <c r="C298" s="4">
        <v>-4342.9317062050104</v>
      </c>
    </row>
    <row r="299" spans="1:3">
      <c r="A299" s="4">
        <v>274</v>
      </c>
      <c r="B299" s="4">
        <v>565075.71428155561</v>
      </c>
      <c r="C299" s="4">
        <v>-3478.3842815556563</v>
      </c>
    </row>
    <row r="300" spans="1:3">
      <c r="A300" s="4">
        <v>275</v>
      </c>
      <c r="B300" s="4">
        <v>652165.78812987101</v>
      </c>
      <c r="C300" s="4">
        <v>-16328.048129871022</v>
      </c>
    </row>
    <row r="301" spans="1:3">
      <c r="A301" s="4">
        <v>276</v>
      </c>
      <c r="B301" s="4">
        <v>656661.2200450236</v>
      </c>
      <c r="C301" s="4">
        <v>30076.649954976398</v>
      </c>
    </row>
    <row r="302" spans="1:3">
      <c r="A302" s="4">
        <v>277</v>
      </c>
      <c r="B302" s="4">
        <v>751957.24104004633</v>
      </c>
      <c r="C302" s="4">
        <v>-78880.901040046359</v>
      </c>
    </row>
    <row r="303" spans="1:3">
      <c r="A303" s="4">
        <v>278</v>
      </c>
      <c r="B303" s="4">
        <v>731870.50954614975</v>
      </c>
      <c r="C303" s="4">
        <v>6677.910453850287</v>
      </c>
    </row>
    <row r="304" spans="1:3">
      <c r="A304" s="4">
        <v>279</v>
      </c>
      <c r="B304" s="4">
        <v>779072.54465525306</v>
      </c>
      <c r="C304" s="4">
        <v>-22452.774655253044</v>
      </c>
    </row>
    <row r="305" spans="1:3">
      <c r="A305" s="4">
        <v>280</v>
      </c>
      <c r="B305" s="4">
        <v>771401.76797463535</v>
      </c>
      <c r="C305" s="4">
        <v>-10279.347974635311</v>
      </c>
    </row>
    <row r="306" spans="1:3">
      <c r="A306" s="4">
        <v>281</v>
      </c>
      <c r="B306" s="4">
        <v>589907.62390811334</v>
      </c>
      <c r="C306" s="4">
        <v>-65008.05390811339</v>
      </c>
    </row>
    <row r="307" spans="1:3">
      <c r="A307" s="4">
        <v>282</v>
      </c>
      <c r="B307" s="4">
        <v>601788.40825530258</v>
      </c>
      <c r="C307" s="4">
        <v>-46230.638255302561</v>
      </c>
    </row>
    <row r="308" spans="1:3">
      <c r="A308" s="4">
        <v>283</v>
      </c>
      <c r="B308" s="4">
        <v>651380.87144627282</v>
      </c>
      <c r="C308" s="4">
        <v>62702.808553727227</v>
      </c>
    </row>
    <row r="309" spans="1:3">
      <c r="A309" s="4">
        <v>284</v>
      </c>
      <c r="B309" s="4">
        <v>554407.98299083614</v>
      </c>
      <c r="C309" s="4">
        <v>-56968.162990836136</v>
      </c>
    </row>
    <row r="310" spans="1:3">
      <c r="A310" s="4">
        <v>285</v>
      </c>
      <c r="B310" s="4">
        <v>644851.79175997968</v>
      </c>
      <c r="C310" s="4">
        <v>-8076.1317599796457</v>
      </c>
    </row>
    <row r="311" spans="1:3">
      <c r="A311" s="4">
        <v>286</v>
      </c>
      <c r="B311" s="4">
        <v>606497.90835689125</v>
      </c>
      <c r="C311" s="4">
        <v>26511.621643108781</v>
      </c>
    </row>
    <row r="312" spans="1:3">
      <c r="A312" s="4">
        <v>287</v>
      </c>
      <c r="B312" s="4">
        <v>594902.54825828306</v>
      </c>
      <c r="C312" s="4">
        <v>15046.451741716941</v>
      </c>
    </row>
    <row r="313" spans="1:3">
      <c r="A313" s="4">
        <v>288</v>
      </c>
      <c r="B313" s="4">
        <v>592476.4421453434</v>
      </c>
      <c r="C313" s="4">
        <v>-44372.742145343451</v>
      </c>
    </row>
    <row r="314" spans="1:3">
      <c r="A314" s="4">
        <v>289</v>
      </c>
      <c r="B314" s="4">
        <v>749102.99855423509</v>
      </c>
      <c r="C314" s="4">
        <v>-19678.57855423505</v>
      </c>
    </row>
    <row r="315" spans="1:3">
      <c r="A315" s="4">
        <v>290</v>
      </c>
      <c r="B315" s="4">
        <v>724485.15711411322</v>
      </c>
      <c r="C315" s="4">
        <v>-28223.667114113225</v>
      </c>
    </row>
    <row r="316" spans="1:3">
      <c r="A316" s="4">
        <v>291</v>
      </c>
      <c r="B316" s="4">
        <v>742538.24083686923</v>
      </c>
      <c r="C316" s="4">
        <v>70778.469163130736</v>
      </c>
    </row>
    <row r="317" spans="1:3">
      <c r="A317" s="4">
        <v>292</v>
      </c>
      <c r="B317" s="4">
        <v>699118.07702146587</v>
      </c>
      <c r="C317" s="4">
        <v>2950.8429785341723</v>
      </c>
    </row>
    <row r="318" spans="1:3">
      <c r="A318" s="4">
        <v>293</v>
      </c>
      <c r="B318" s="4">
        <v>583200.15406645695</v>
      </c>
      <c r="C318" s="4">
        <v>-36976.454066456994</v>
      </c>
    </row>
    <row r="319" spans="1:3">
      <c r="A319" s="4">
        <v>294</v>
      </c>
      <c r="B319" s="4">
        <v>530539.38020323962</v>
      </c>
      <c r="C319" s="4">
        <v>2581.8797967603896</v>
      </c>
    </row>
    <row r="320" spans="1:3">
      <c r="A320" s="4">
        <v>295</v>
      </c>
      <c r="B320" s="4">
        <v>490330.23918437387</v>
      </c>
      <c r="C320" s="4">
        <v>8640.0808156261337</v>
      </c>
    </row>
    <row r="321" spans="1:3">
      <c r="A321" s="4">
        <v>296</v>
      </c>
      <c r="B321" s="4">
        <v>507883.83047211292</v>
      </c>
      <c r="C321" s="4">
        <v>-20145.570472112915</v>
      </c>
    </row>
    <row r="322" spans="1:3">
      <c r="A322" s="4">
        <v>297</v>
      </c>
      <c r="B322" s="4">
        <v>656768.25413824152</v>
      </c>
      <c r="C322" s="4">
        <v>11691.115861758473</v>
      </c>
    </row>
    <row r="323" spans="1:3">
      <c r="A323" s="4">
        <v>298</v>
      </c>
      <c r="B323" s="4">
        <v>657018.00035575009</v>
      </c>
      <c r="C323" s="4">
        <v>106144.44964424986</v>
      </c>
    </row>
    <row r="324" spans="1:3">
      <c r="A324" s="4">
        <v>299</v>
      </c>
      <c r="B324" s="4">
        <v>621161.5791277464</v>
      </c>
      <c r="C324" s="4">
        <v>-22144.249127746443</v>
      </c>
    </row>
    <row r="325" spans="1:3">
      <c r="A325" s="4">
        <v>300</v>
      </c>
      <c r="B325" s="4">
        <v>498571.86436215381</v>
      </c>
      <c r="C325" s="4">
        <v>-96989.28436215379</v>
      </c>
    </row>
    <row r="326" spans="1:3">
      <c r="A326" s="4">
        <v>301</v>
      </c>
      <c r="B326" s="4">
        <v>740825.69534538244</v>
      </c>
      <c r="C326" s="4">
        <v>-37012.705345382448</v>
      </c>
    </row>
    <row r="327" spans="1:3">
      <c r="A327" s="4">
        <v>302</v>
      </c>
      <c r="B327" s="4">
        <v>731442.37317327806</v>
      </c>
      <c r="C327" s="4">
        <v>-7095.6431732780766</v>
      </c>
    </row>
    <row r="328" spans="1:3">
      <c r="A328" s="4">
        <v>303</v>
      </c>
      <c r="B328" s="4">
        <v>741396.54384254478</v>
      </c>
      <c r="C328" s="4">
        <v>-10506.53384254477</v>
      </c>
    </row>
    <row r="329" spans="1:3">
      <c r="A329" s="4">
        <v>304</v>
      </c>
      <c r="B329" s="4">
        <v>738363.9112013703</v>
      </c>
      <c r="C329" s="4">
        <v>42217.038798629656</v>
      </c>
    </row>
    <row r="330" spans="1:3">
      <c r="A330" s="4">
        <v>305</v>
      </c>
      <c r="B330" s="4">
        <v>679530.8379625862</v>
      </c>
      <c r="C330" s="4">
        <v>48426.642037413782</v>
      </c>
    </row>
    <row r="331" spans="1:3">
      <c r="A331" s="4">
        <v>306</v>
      </c>
      <c r="B331" s="4">
        <v>653485.87527955859</v>
      </c>
      <c r="C331" s="4">
        <v>-115109.87527955859</v>
      </c>
    </row>
    <row r="332" spans="1:3">
      <c r="A332" s="4">
        <v>307</v>
      </c>
      <c r="B332" s="4">
        <v>671217.85672266094</v>
      </c>
      <c r="C332" s="4">
        <v>-5875.3667226609541</v>
      </c>
    </row>
    <row r="333" spans="1:3">
      <c r="A333" s="4">
        <v>308</v>
      </c>
      <c r="B333" s="4">
        <v>674714.30376777973</v>
      </c>
      <c r="C333" s="4">
        <v>-23550.123767779674</v>
      </c>
    </row>
    <row r="334" spans="1:3">
      <c r="A334" s="4">
        <v>309</v>
      </c>
      <c r="B334" s="4">
        <v>651880.36388128984</v>
      </c>
      <c r="C334" s="4">
        <v>-23342.063881289796</v>
      </c>
    </row>
    <row r="335" spans="1:3">
      <c r="A335" s="4">
        <v>310</v>
      </c>
      <c r="B335" s="4">
        <v>634968.97715285828</v>
      </c>
      <c r="C335" s="4">
        <v>-98444.137152858311</v>
      </c>
    </row>
    <row r="336" spans="1:3">
      <c r="A336" s="4">
        <v>311</v>
      </c>
      <c r="B336" s="4">
        <v>640285.00378268166</v>
      </c>
      <c r="C336" s="4">
        <v>-18607.703782681609</v>
      </c>
    </row>
    <row r="337" spans="1:3">
      <c r="A337" s="4">
        <v>312</v>
      </c>
      <c r="B337" s="4">
        <v>713246.5773262314</v>
      </c>
      <c r="C337" s="4">
        <v>57882.492673768546</v>
      </c>
    </row>
    <row r="338" spans="1:3">
      <c r="A338" s="4">
        <v>313</v>
      </c>
      <c r="B338" s="4">
        <v>666329.96646570927</v>
      </c>
      <c r="C338" s="4">
        <v>35722.503534290707</v>
      </c>
    </row>
    <row r="339" spans="1:3">
      <c r="A339" s="4">
        <v>314</v>
      </c>
      <c r="B339" s="4">
        <v>730871.52467611583</v>
      </c>
      <c r="C339" s="4">
        <v>-42503.064676115871</v>
      </c>
    </row>
    <row r="340" spans="1:3">
      <c r="A340" s="4">
        <v>315</v>
      </c>
      <c r="B340" s="4">
        <v>660478.76936979615</v>
      </c>
      <c r="C340" s="4">
        <v>51897.000630203867</v>
      </c>
    </row>
    <row r="341" spans="1:3">
      <c r="A341" s="4">
        <v>316</v>
      </c>
      <c r="B341" s="4">
        <v>802013.51863496087</v>
      </c>
      <c r="C341" s="4">
        <v>42697.151365039172</v>
      </c>
    </row>
    <row r="342" spans="1:3">
      <c r="A342" s="4">
        <v>317</v>
      </c>
      <c r="B342" s="4">
        <v>647599.00015257299</v>
      </c>
      <c r="C342" s="4">
        <v>-27334.800152573036</v>
      </c>
    </row>
    <row r="343" spans="1:3">
      <c r="A343" s="4">
        <v>318</v>
      </c>
      <c r="B343" s="4">
        <v>570070.63863172522</v>
      </c>
      <c r="C343" s="4">
        <v>-33225.218631725176</v>
      </c>
    </row>
    <row r="344" spans="1:3">
      <c r="A344" s="4">
        <v>319</v>
      </c>
      <c r="B344" s="4">
        <v>723807.27452373295</v>
      </c>
      <c r="C344" s="4">
        <v>2968.9454762670211</v>
      </c>
    </row>
    <row r="345" spans="1:3" ht="14.4" thickBot="1">
      <c r="A345" s="5">
        <v>320</v>
      </c>
      <c r="B345" s="5">
        <v>636110.67414718273</v>
      </c>
      <c r="C345" s="5">
        <v>-76449.834147182759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BD62-B895-40BC-ABD9-C0E9915BC887}">
  <dimension ref="A1:I347"/>
  <sheetViews>
    <sheetView tabSelected="1" topLeftCell="A3" workbookViewId="0">
      <selection activeCell="I12" sqref="I12"/>
    </sheetView>
  </sheetViews>
  <sheetFormatPr defaultRowHeight="13.8"/>
  <cols>
    <col min="1" max="1" width="18.296875" bestFit="1" customWidth="1"/>
    <col min="2" max="2" width="21.69921875" bestFit="1" customWidth="1"/>
    <col min="3" max="3" width="13.3984375" bestFit="1" customWidth="1"/>
    <col min="6" max="6" width="13.09765625" bestFit="1" customWidth="1"/>
    <col min="9" max="9" width="12.5" bestFit="1" customWidth="1"/>
  </cols>
  <sheetData>
    <row r="1" spans="1:9">
      <c r="A1" t="s">
        <v>124</v>
      </c>
    </row>
    <row r="2" spans="1:9" ht="14.4" thickBot="1"/>
    <row r="3" spans="1:9" ht="14.4">
      <c r="A3" s="7" t="s">
        <v>125</v>
      </c>
      <c r="B3" s="7"/>
    </row>
    <row r="4" spans="1:9">
      <c r="A4" s="4" t="s">
        <v>126</v>
      </c>
      <c r="B4" s="4">
        <v>0.88615823866646093</v>
      </c>
    </row>
    <row r="5" spans="1:9">
      <c r="A5" s="4" t="s">
        <v>127</v>
      </c>
      <c r="B5" s="4">
        <v>0.78527642395644426</v>
      </c>
    </row>
    <row r="6" spans="1:9">
      <c r="A6" s="4" t="s">
        <v>128</v>
      </c>
      <c r="B6" s="4">
        <v>0.78254977537176418</v>
      </c>
    </row>
    <row r="7" spans="1:9">
      <c r="A7" s="4" t="s">
        <v>129</v>
      </c>
      <c r="B7" s="4">
        <v>48390.333867183304</v>
      </c>
    </row>
    <row r="8" spans="1:9" ht="14.4" thickBot="1">
      <c r="A8" s="5" t="s">
        <v>130</v>
      </c>
      <c r="B8" s="5">
        <v>320</v>
      </c>
    </row>
    <row r="10" spans="1:9" ht="14.4" thickBot="1">
      <c r="A10" t="s">
        <v>131</v>
      </c>
    </row>
    <row r="11" spans="1:9" ht="14.4">
      <c r="A11" s="6"/>
      <c r="B11" s="6" t="s">
        <v>136</v>
      </c>
      <c r="C11" s="6" t="s">
        <v>137</v>
      </c>
      <c r="D11" s="6" t="s">
        <v>138</v>
      </c>
      <c r="E11" s="6" t="s">
        <v>139</v>
      </c>
      <c r="F11" s="6" t="s">
        <v>140</v>
      </c>
    </row>
    <row r="12" spans="1:9">
      <c r="A12" s="4" t="s">
        <v>132</v>
      </c>
      <c r="B12" s="4">
        <v>4</v>
      </c>
      <c r="C12" s="4">
        <v>2697556927080.8369</v>
      </c>
      <c r="D12" s="4">
        <v>674389231770.20923</v>
      </c>
      <c r="E12" s="4">
        <v>288.00059837875432</v>
      </c>
      <c r="F12" s="4">
        <v>7.3596658211440581E-104</v>
      </c>
    </row>
    <row r="13" spans="1:9">
      <c r="A13" s="4" t="s">
        <v>133</v>
      </c>
      <c r="B13" s="4">
        <v>315</v>
      </c>
      <c r="C13" s="4">
        <v>737611689709.90222</v>
      </c>
      <c r="D13" s="4">
        <v>2341624411.7774673</v>
      </c>
      <c r="E13" s="4"/>
      <c r="F13" s="4"/>
    </row>
    <row r="14" spans="1:9" ht="14.4" thickBot="1">
      <c r="A14" s="5" t="s">
        <v>134</v>
      </c>
      <c r="B14" s="5">
        <v>319</v>
      </c>
      <c r="C14" s="5">
        <v>3435168616790.7393</v>
      </c>
      <c r="D14" s="5"/>
      <c r="E14" s="5"/>
      <c r="F14" s="5"/>
    </row>
    <row r="15" spans="1:9" ht="14.4" thickBot="1"/>
    <row r="16" spans="1:9" ht="14.4">
      <c r="A16" s="6"/>
      <c r="B16" s="6" t="s">
        <v>141</v>
      </c>
      <c r="C16" s="6" t="s">
        <v>129</v>
      </c>
      <c r="D16" s="6" t="s">
        <v>142</v>
      </c>
      <c r="E16" s="6" t="s">
        <v>143</v>
      </c>
      <c r="F16" s="6" t="s">
        <v>144</v>
      </c>
      <c r="G16" s="6" t="s">
        <v>145</v>
      </c>
      <c r="H16" s="6" t="s">
        <v>146</v>
      </c>
      <c r="I16" s="6" t="s">
        <v>147</v>
      </c>
    </row>
    <row r="17" spans="1:9">
      <c r="A17" s="4" t="s">
        <v>135</v>
      </c>
      <c r="B17" s="4">
        <v>407920.81532356632</v>
      </c>
      <c r="C17" s="4">
        <v>11292.05406189498</v>
      </c>
      <c r="D17" s="4">
        <v>36.124589298601975</v>
      </c>
      <c r="E17" s="4">
        <v>4.8412033246263609E-114</v>
      </c>
      <c r="F17" s="4">
        <v>385703.43323566578</v>
      </c>
      <c r="G17" s="4">
        <v>430138.19741146686</v>
      </c>
      <c r="H17" s="4">
        <v>385703.43323566578</v>
      </c>
      <c r="I17" s="4">
        <v>430138.19741146686</v>
      </c>
    </row>
    <row r="18" spans="1:9">
      <c r="A18" s="4" t="s">
        <v>118</v>
      </c>
      <c r="B18" s="4">
        <v>1382.1794988938768</v>
      </c>
      <c r="C18" s="4">
        <v>6795.1822177565264</v>
      </c>
      <c r="D18" s="4">
        <v>0.20340580349443704</v>
      </c>
      <c r="E18" s="4">
        <v>0.83894919806451052</v>
      </c>
      <c r="F18" s="4">
        <v>-11987.501416667434</v>
      </c>
      <c r="G18" s="4">
        <v>14751.860414455186</v>
      </c>
      <c r="H18" s="4">
        <v>-11987.501416667434</v>
      </c>
      <c r="I18" s="4">
        <v>14751.860414455186</v>
      </c>
    </row>
    <row r="19" spans="1:9">
      <c r="A19" s="4" t="s">
        <v>4</v>
      </c>
      <c r="B19" s="4">
        <v>1.1274160362367214</v>
      </c>
      <c r="C19" s="4">
        <v>0.14007659232945932</v>
      </c>
      <c r="D19" s="4">
        <v>8.0485684116661371</v>
      </c>
      <c r="E19" s="4">
        <v>1.7288932436637024E-14</v>
      </c>
      <c r="F19" s="4">
        <v>0.85181204458948279</v>
      </c>
      <c r="G19" s="4">
        <v>1.40302002788396</v>
      </c>
      <c r="H19" s="4">
        <v>0.85181204458948279</v>
      </c>
      <c r="I19" s="4">
        <v>1.40302002788396</v>
      </c>
    </row>
    <row r="20" spans="1:9">
      <c r="A20" s="4" t="s">
        <v>5</v>
      </c>
      <c r="B20" s="4">
        <v>33.517888185085432</v>
      </c>
      <c r="C20" s="4">
        <v>1.1198639470315432</v>
      </c>
      <c r="D20" s="4">
        <v>29.930321691248565</v>
      </c>
      <c r="E20" s="4">
        <v>4.1307743476675643E-94</v>
      </c>
      <c r="F20" s="4">
        <v>31.314529517008985</v>
      </c>
      <c r="G20" s="4">
        <v>35.72124685316188</v>
      </c>
      <c r="H20" s="4">
        <v>31.314529517008985</v>
      </c>
      <c r="I20" s="4">
        <v>35.72124685316188</v>
      </c>
    </row>
    <row r="21" spans="1:9" ht="14.4" thickBot="1">
      <c r="A21" s="5" t="s">
        <v>6</v>
      </c>
      <c r="B21" s="5">
        <v>-89140.445531963764</v>
      </c>
      <c r="C21" s="5">
        <v>39927.00893025611</v>
      </c>
      <c r="D21" s="5">
        <v>-2.2325851076816932</v>
      </c>
      <c r="E21" s="5">
        <v>2.6278832515923198E-2</v>
      </c>
      <c r="F21" s="5">
        <v>-167697.77515226236</v>
      </c>
      <c r="G21" s="5">
        <v>-10583.115911665154</v>
      </c>
      <c r="H21" s="5">
        <v>-167697.77515226236</v>
      </c>
      <c r="I21" s="5">
        <v>-10583.115911665154</v>
      </c>
    </row>
    <row r="25" spans="1:9">
      <c r="A25" t="s">
        <v>148</v>
      </c>
    </row>
    <row r="26" spans="1:9" ht="14.4" thickBot="1"/>
    <row r="27" spans="1:9" ht="14.4">
      <c r="A27" s="6" t="s">
        <v>149</v>
      </c>
      <c r="B27" s="6" t="s">
        <v>150</v>
      </c>
      <c r="C27" s="6" t="s">
        <v>151</v>
      </c>
    </row>
    <row r="28" spans="1:9">
      <c r="A28" s="4">
        <v>1</v>
      </c>
      <c r="B28" s="4">
        <v>761800.2357142336</v>
      </c>
      <c r="C28" s="4">
        <v>-102967.6157142336</v>
      </c>
    </row>
    <row r="29" spans="1:9">
      <c r="A29" s="4">
        <v>2</v>
      </c>
      <c r="B29" s="4">
        <v>726823.80352143547</v>
      </c>
      <c r="C29" s="4">
        <v>-92387.803521435475</v>
      </c>
    </row>
    <row r="30" spans="1:9">
      <c r="A30" s="4">
        <v>3</v>
      </c>
      <c r="B30" s="4">
        <v>769070.3929678665</v>
      </c>
      <c r="C30" s="4">
        <v>-90348.332967866445</v>
      </c>
    </row>
    <row r="31" spans="1:9">
      <c r="A31" s="4">
        <v>4</v>
      </c>
      <c r="B31" s="4">
        <v>775471.15195994603</v>
      </c>
      <c r="C31" s="4">
        <v>-116550.85195994598</v>
      </c>
    </row>
    <row r="32" spans="1:9">
      <c r="A32" s="4">
        <v>5</v>
      </c>
      <c r="B32" s="4">
        <v>761838.80182487844</v>
      </c>
      <c r="C32" s="4">
        <v>-20497.361824878491</v>
      </c>
    </row>
    <row r="33" spans="1:3">
      <c r="A33" s="4">
        <v>6</v>
      </c>
      <c r="B33" s="4">
        <v>799213.44401424867</v>
      </c>
      <c r="C33" s="4">
        <v>-37378.104014248704</v>
      </c>
    </row>
    <row r="34" spans="1:3">
      <c r="A34" s="4">
        <v>7</v>
      </c>
      <c r="B34" s="4">
        <v>804973.36656135763</v>
      </c>
      <c r="C34" s="4">
        <v>1642.1734386424068</v>
      </c>
    </row>
    <row r="35" spans="1:3">
      <c r="A35" s="4">
        <v>8</v>
      </c>
      <c r="B35" s="4">
        <v>760579.46111643268</v>
      </c>
      <c r="C35" s="4">
        <v>89584.798883567331</v>
      </c>
    </row>
    <row r="36" spans="1:3">
      <c r="A36" s="4">
        <v>9</v>
      </c>
      <c r="B36" s="4">
        <v>839122.97620610567</v>
      </c>
      <c r="C36" s="4">
        <v>91458.723793894285</v>
      </c>
    </row>
    <row r="37" spans="1:3">
      <c r="A37" s="4">
        <v>10</v>
      </c>
      <c r="B37" s="4">
        <v>783552.53400812368</v>
      </c>
      <c r="C37" s="4">
        <v>-4541.594008123735</v>
      </c>
    </row>
    <row r="38" spans="1:3">
      <c r="A38" s="4">
        <v>11</v>
      </c>
      <c r="B38" s="4">
        <v>736395.84591749916</v>
      </c>
      <c r="C38" s="4">
        <v>-13335.085917499149</v>
      </c>
    </row>
    <row r="39" spans="1:3">
      <c r="A39" s="4">
        <v>12</v>
      </c>
      <c r="B39" s="4">
        <v>862172.2051033536</v>
      </c>
      <c r="C39" s="4">
        <v>48619.734896646347</v>
      </c>
    </row>
    <row r="40" spans="1:3">
      <c r="A40" s="4">
        <v>13</v>
      </c>
      <c r="B40" s="4">
        <v>906751.87738530547</v>
      </c>
      <c r="C40" s="4">
        <v>15416.722614694503</v>
      </c>
    </row>
    <row r="41" spans="1:3">
      <c r="A41" s="4">
        <v>14</v>
      </c>
      <c r="B41" s="4">
        <v>794711.19444486347</v>
      </c>
      <c r="C41" s="4">
        <v>-68104.914444863447</v>
      </c>
    </row>
    <row r="42" spans="1:3">
      <c r="A42" s="4">
        <v>15</v>
      </c>
      <c r="B42" s="4">
        <v>753281.35144569771</v>
      </c>
      <c r="C42" s="4">
        <v>-6780.2614456977462</v>
      </c>
    </row>
    <row r="43" spans="1:3">
      <c r="A43" s="4">
        <v>16</v>
      </c>
      <c r="B43" s="4">
        <v>858972.53446940123</v>
      </c>
      <c r="C43" s="4">
        <v>-24955.514469401212</v>
      </c>
    </row>
    <row r="44" spans="1:3">
      <c r="A44" s="4">
        <v>17</v>
      </c>
      <c r="B44" s="4">
        <v>699033.51028207922</v>
      </c>
      <c r="C44" s="4">
        <v>-32880.990282079205</v>
      </c>
    </row>
    <row r="45" spans="1:3">
      <c r="A45" s="4">
        <v>18</v>
      </c>
      <c r="B45" s="4">
        <v>606850.32812692062</v>
      </c>
      <c r="C45" s="4">
        <v>-33695.138126920676</v>
      </c>
    </row>
    <row r="46" spans="1:3">
      <c r="A46" s="4">
        <v>19</v>
      </c>
      <c r="B46" s="4">
        <v>682418.3489350708</v>
      </c>
      <c r="C46" s="4">
        <v>-15845.148935070843</v>
      </c>
    </row>
    <row r="47" spans="1:3">
      <c r="A47" s="4">
        <v>20</v>
      </c>
      <c r="B47" s="4">
        <v>603623.44740455633</v>
      </c>
      <c r="C47" s="4">
        <v>-12003.497404556372</v>
      </c>
    </row>
    <row r="48" spans="1:3">
      <c r="A48" s="4">
        <v>21</v>
      </c>
      <c r="B48" s="4">
        <v>517523.18923537969</v>
      </c>
      <c r="C48" s="4">
        <v>-101801.36923537968</v>
      </c>
    </row>
    <row r="49" spans="1:3">
      <c r="A49" s="4">
        <v>22</v>
      </c>
      <c r="B49" s="4">
        <v>502495.44007809507</v>
      </c>
      <c r="C49" s="4">
        <v>-10590.310078095063</v>
      </c>
    </row>
    <row r="50" spans="1:3">
      <c r="A50" s="4">
        <v>23</v>
      </c>
      <c r="B50" s="4">
        <v>555447.61013952421</v>
      </c>
      <c r="C50" s="4">
        <v>481.78986047580838</v>
      </c>
    </row>
    <row r="51" spans="1:3">
      <c r="A51" s="4">
        <v>24</v>
      </c>
      <c r="B51" s="4">
        <v>547598.82441293076</v>
      </c>
      <c r="C51" s="4">
        <v>18212.165587069234</v>
      </c>
    </row>
    <row r="52" spans="1:3">
      <c r="A52" s="4">
        <v>25</v>
      </c>
      <c r="B52" s="4">
        <v>804668.77643318055</v>
      </c>
      <c r="C52" s="4">
        <v>7102.363566819462</v>
      </c>
    </row>
    <row r="53" spans="1:3">
      <c r="A53" s="4">
        <v>26</v>
      </c>
      <c r="B53" s="4">
        <v>889039.36292144225</v>
      </c>
      <c r="C53" s="4">
        <v>-88587.42292144231</v>
      </c>
    </row>
    <row r="54" spans="1:3">
      <c r="A54" s="4">
        <v>27</v>
      </c>
      <c r="B54" s="4">
        <v>767388.07905187772</v>
      </c>
      <c r="C54" s="4">
        <v>16284.740948122228</v>
      </c>
    </row>
    <row r="55" spans="1:3">
      <c r="A55" s="4">
        <v>28</v>
      </c>
      <c r="B55" s="4">
        <v>698577.2364213611</v>
      </c>
      <c r="C55" s="4">
        <v>3064.7335786388721</v>
      </c>
    </row>
    <row r="56" spans="1:3">
      <c r="A56" s="4">
        <v>29</v>
      </c>
      <c r="B56" s="4">
        <v>607878.17724350514</v>
      </c>
      <c r="C56" s="4">
        <v>-96033.767243505165</v>
      </c>
    </row>
    <row r="57" spans="1:3">
      <c r="A57" s="4">
        <v>30</v>
      </c>
      <c r="B57" s="4">
        <v>540000.69037001394</v>
      </c>
      <c r="C57" s="4">
        <v>-2616.9003700139001</v>
      </c>
    </row>
    <row r="58" spans="1:3">
      <c r="A58" s="4">
        <v>31</v>
      </c>
      <c r="B58" s="4">
        <v>529320.40577941353</v>
      </c>
      <c r="C58" s="4">
        <v>-29147.385779413511</v>
      </c>
    </row>
    <row r="59" spans="1:3">
      <c r="A59" s="4">
        <v>32</v>
      </c>
      <c r="B59" s="4">
        <v>504203.16248343</v>
      </c>
      <c r="C59" s="4">
        <v>-76285.782483429997</v>
      </c>
    </row>
    <row r="60" spans="1:3">
      <c r="A60" s="4">
        <v>33</v>
      </c>
      <c r="B60" s="4">
        <v>770139.22784534784</v>
      </c>
      <c r="C60" s="4">
        <v>-128274.19784534781</v>
      </c>
    </row>
    <row r="61" spans="1:3">
      <c r="A61" s="4">
        <v>34</v>
      </c>
      <c r="B61" s="4">
        <v>878226.50031760894</v>
      </c>
      <c r="C61" s="4">
        <v>-78748.740317608928</v>
      </c>
    </row>
    <row r="62" spans="1:3">
      <c r="A62" s="4">
        <v>35</v>
      </c>
      <c r="B62" s="4">
        <v>806432.44453818083</v>
      </c>
      <c r="C62" s="4">
        <v>-7480.2745381807908</v>
      </c>
    </row>
    <row r="63" spans="1:3">
      <c r="A63" s="4">
        <v>36</v>
      </c>
      <c r="B63" s="4">
        <v>796818.8339149229</v>
      </c>
      <c r="C63" s="4">
        <v>4160.9460850771284</v>
      </c>
    </row>
    <row r="64" spans="1:3">
      <c r="A64" s="4">
        <v>37</v>
      </c>
      <c r="B64" s="4">
        <v>782193.62809675792</v>
      </c>
      <c r="C64" s="4">
        <v>38400.301903242129</v>
      </c>
    </row>
    <row r="65" spans="1:3">
      <c r="A65" s="4">
        <v>38</v>
      </c>
      <c r="B65" s="4">
        <v>737818.03873692348</v>
      </c>
      <c r="C65" s="4">
        <v>-19487.508736923453</v>
      </c>
    </row>
    <row r="66" spans="1:3">
      <c r="A66" s="4">
        <v>39</v>
      </c>
      <c r="B66" s="4">
        <v>750394.98707073811</v>
      </c>
      <c r="C66" s="4">
        <v>-13761.587070738082</v>
      </c>
    </row>
    <row r="67" spans="1:3">
      <c r="A67" s="4">
        <v>40</v>
      </c>
      <c r="B67" s="4">
        <v>796726.53330956178</v>
      </c>
      <c r="C67" s="4">
        <v>31897.316690438194</v>
      </c>
    </row>
    <row r="68" spans="1:3">
      <c r="A68" s="4">
        <v>41</v>
      </c>
      <c r="B68" s="4">
        <v>556782.23638429516</v>
      </c>
      <c r="C68" s="4">
        <v>35413.613615704817</v>
      </c>
    </row>
    <row r="69" spans="1:3">
      <c r="A69" s="4">
        <v>42</v>
      </c>
      <c r="B69" s="4">
        <v>555336.75875122438</v>
      </c>
      <c r="C69" s="4">
        <v>-22692.298751224414</v>
      </c>
    </row>
    <row r="70" spans="1:3">
      <c r="A70" s="4">
        <v>43</v>
      </c>
      <c r="B70" s="4">
        <v>585882.65290090896</v>
      </c>
      <c r="C70" s="4">
        <v>71546.527099091094</v>
      </c>
    </row>
    <row r="71" spans="1:3">
      <c r="A71" s="4">
        <v>44</v>
      </c>
      <c r="B71" s="4">
        <v>601448.46072989621</v>
      </c>
      <c r="C71" s="4">
        <v>3729.5392701037927</v>
      </c>
    </row>
    <row r="72" spans="1:3">
      <c r="A72" s="4">
        <v>45</v>
      </c>
      <c r="B72" s="4">
        <v>731569.8519977415</v>
      </c>
      <c r="C72" s="4">
        <v>-136102.25199774152</v>
      </c>
    </row>
    <row r="73" spans="1:3">
      <c r="A73" s="4">
        <v>46</v>
      </c>
      <c r="B73" s="4">
        <v>608200.31107214617</v>
      </c>
      <c r="C73" s="4">
        <v>-8596.9110721461475</v>
      </c>
    </row>
    <row r="74" spans="1:3">
      <c r="A74" s="4">
        <v>47</v>
      </c>
      <c r="B74" s="4">
        <v>581770.00515633717</v>
      </c>
      <c r="C74" s="4">
        <v>33030.0848436628</v>
      </c>
    </row>
    <row r="75" spans="1:3">
      <c r="A75" s="4">
        <v>48</v>
      </c>
      <c r="B75" s="4">
        <v>578113.19297493272</v>
      </c>
      <c r="C75" s="4">
        <v>7252.5370250672568</v>
      </c>
    </row>
    <row r="76" spans="1:3">
      <c r="A76" s="4">
        <v>49</v>
      </c>
      <c r="B76" s="4">
        <v>623226.68920045486</v>
      </c>
      <c r="C76" s="4">
        <v>-414.94920045486651</v>
      </c>
    </row>
    <row r="77" spans="1:3">
      <c r="A77" s="4">
        <v>50</v>
      </c>
      <c r="B77" s="4">
        <v>632240.49622935988</v>
      </c>
      <c r="C77" s="4">
        <v>-28942.926229359931</v>
      </c>
    </row>
    <row r="78" spans="1:3">
      <c r="A78" s="4">
        <v>51</v>
      </c>
      <c r="B78" s="4">
        <v>635647.49185678782</v>
      </c>
      <c r="C78" s="4">
        <v>-9974.6318567878334</v>
      </c>
    </row>
    <row r="79" spans="1:3">
      <c r="A79" s="4">
        <v>52</v>
      </c>
      <c r="B79" s="4">
        <v>719440.41930099169</v>
      </c>
      <c r="C79" s="4">
        <v>54374.720699008321</v>
      </c>
    </row>
    <row r="80" spans="1:3">
      <c r="A80" s="4">
        <v>53</v>
      </c>
      <c r="B80" s="4">
        <v>569841.2316936471</v>
      </c>
      <c r="C80" s="4">
        <v>-106306.9816936471</v>
      </c>
    </row>
    <row r="81" spans="1:3">
      <c r="A81" s="4">
        <v>54</v>
      </c>
      <c r="B81" s="4">
        <v>694485.38681705634</v>
      </c>
      <c r="C81" s="4">
        <v>52192.363182943664</v>
      </c>
    </row>
    <row r="82" spans="1:3">
      <c r="A82" s="4">
        <v>55</v>
      </c>
      <c r="B82" s="4">
        <v>674897.70809636812</v>
      </c>
      <c r="C82" s="4">
        <v>45954.791903631878</v>
      </c>
    </row>
    <row r="83" spans="1:3">
      <c r="A83" s="4">
        <v>56</v>
      </c>
      <c r="B83" s="4">
        <v>528103.15514020121</v>
      </c>
      <c r="C83" s="4">
        <v>-40638.245140201238</v>
      </c>
    </row>
    <row r="84" spans="1:3">
      <c r="A84" s="4">
        <v>57</v>
      </c>
      <c r="B84" s="4">
        <v>509458.83261438576</v>
      </c>
      <c r="C84" s="4">
        <v>8590.4273856142536</v>
      </c>
    </row>
    <row r="85" spans="1:3">
      <c r="A85" s="4">
        <v>58</v>
      </c>
      <c r="B85" s="4">
        <v>555716.74300885666</v>
      </c>
      <c r="C85" s="4">
        <v>-55418.26300885668</v>
      </c>
    </row>
    <row r="86" spans="1:3">
      <c r="A86" s="4">
        <v>59</v>
      </c>
      <c r="B86" s="4">
        <v>664579.10259470681</v>
      </c>
      <c r="C86" s="4">
        <v>-47287.952594706789</v>
      </c>
    </row>
    <row r="87" spans="1:3">
      <c r="A87" s="4">
        <v>60</v>
      </c>
      <c r="B87" s="4">
        <v>606126.76016147586</v>
      </c>
      <c r="C87" s="4">
        <v>-52370.330161475809</v>
      </c>
    </row>
    <row r="88" spans="1:3">
      <c r="A88" s="4">
        <v>61</v>
      </c>
      <c r="B88" s="4">
        <v>664692.48030474747</v>
      </c>
      <c r="C88" s="4">
        <v>84867.229695252492</v>
      </c>
    </row>
    <row r="89" spans="1:3">
      <c r="A89" s="4">
        <v>62</v>
      </c>
      <c r="B89" s="4">
        <v>575018.01073485042</v>
      </c>
      <c r="C89" s="4">
        <v>40948.469265149557</v>
      </c>
    </row>
    <row r="90" spans="1:3">
      <c r="A90" s="4">
        <v>63</v>
      </c>
      <c r="B90" s="4">
        <v>583481.94477141998</v>
      </c>
      <c r="C90" s="4">
        <v>-11470.744771420024</v>
      </c>
    </row>
    <row r="91" spans="1:3">
      <c r="A91" s="4">
        <v>64</v>
      </c>
      <c r="B91" s="4">
        <v>709500.52251573</v>
      </c>
      <c r="C91" s="4">
        <v>52359.667484269943</v>
      </c>
    </row>
    <row r="92" spans="1:3">
      <c r="A92" s="4">
        <v>65</v>
      </c>
      <c r="B92" s="4">
        <v>784873.98042679625</v>
      </c>
      <c r="C92" s="4">
        <v>-371.3004267961951</v>
      </c>
    </row>
    <row r="93" spans="1:3">
      <c r="A93" s="4">
        <v>66</v>
      </c>
      <c r="B93" s="4">
        <v>717812.7913486592</v>
      </c>
      <c r="C93" s="4">
        <v>-671.24134865915403</v>
      </c>
    </row>
    <row r="94" spans="1:3">
      <c r="A94" s="4">
        <v>67</v>
      </c>
      <c r="B94" s="4">
        <v>810994.78287815105</v>
      </c>
      <c r="C94" s="4">
        <v>-125615.70287815109</v>
      </c>
    </row>
    <row r="95" spans="1:3">
      <c r="A95" s="4">
        <v>68</v>
      </c>
      <c r="B95" s="4">
        <v>723106.28244786838</v>
      </c>
      <c r="C95" s="4">
        <v>17390.367552131647</v>
      </c>
    </row>
    <row r="96" spans="1:3">
      <c r="A96" s="4">
        <v>69</v>
      </c>
      <c r="B96" s="4">
        <v>595824.6024713146</v>
      </c>
      <c r="C96" s="4">
        <v>66102.537528685411</v>
      </c>
    </row>
    <row r="97" spans="1:3">
      <c r="A97" s="4">
        <v>70</v>
      </c>
      <c r="B97" s="4">
        <v>527388.75922269211</v>
      </c>
      <c r="C97" s="4">
        <v>-48338.259222692112</v>
      </c>
    </row>
    <row r="98" spans="1:3">
      <c r="A98" s="4">
        <v>71</v>
      </c>
      <c r="B98" s="4">
        <v>565672.40574079135</v>
      </c>
      <c r="C98" s="4">
        <v>39351.464259208646</v>
      </c>
    </row>
    <row r="99" spans="1:3">
      <c r="A99" s="4">
        <v>72</v>
      </c>
      <c r="B99" s="4">
        <v>650656.75905812986</v>
      </c>
      <c r="C99" s="4">
        <v>24117.33094187011</v>
      </c>
    </row>
    <row r="100" spans="1:3">
      <c r="A100" s="4">
        <v>73</v>
      </c>
      <c r="B100" s="4">
        <v>633676.04109209741</v>
      </c>
      <c r="C100" s="4">
        <v>-17606.631092097377</v>
      </c>
    </row>
    <row r="101" spans="1:3">
      <c r="A101" s="4">
        <v>74</v>
      </c>
      <c r="B101" s="4">
        <v>691276.23939183645</v>
      </c>
      <c r="C101" s="4">
        <v>-60446.29939183651</v>
      </c>
    </row>
    <row r="102" spans="1:3">
      <c r="A102" s="4">
        <v>75</v>
      </c>
      <c r="B102" s="4">
        <v>699258.91283686494</v>
      </c>
      <c r="C102" s="4">
        <v>88828.767163135111</v>
      </c>
    </row>
    <row r="103" spans="1:3">
      <c r="A103" s="4">
        <v>76</v>
      </c>
      <c r="B103" s="4">
        <v>732650.19316887658</v>
      </c>
      <c r="C103" s="4">
        <v>-51809.83316887659</v>
      </c>
    </row>
    <row r="104" spans="1:3">
      <c r="A104" s="4">
        <v>77</v>
      </c>
      <c r="B104" s="4">
        <v>686535.41862681031</v>
      </c>
      <c r="C104" s="4">
        <v>-42877.948626810336</v>
      </c>
    </row>
    <row r="105" spans="1:3">
      <c r="A105" s="4">
        <v>78</v>
      </c>
      <c r="B105" s="4">
        <v>663913.97339053103</v>
      </c>
      <c r="C105" s="4">
        <v>27198.626609468949</v>
      </c>
    </row>
    <row r="106" spans="1:3">
      <c r="A106" s="4">
        <v>79</v>
      </c>
      <c r="B106" s="4">
        <v>733795.08735294885</v>
      </c>
      <c r="C106" s="4">
        <v>43127.082647051197</v>
      </c>
    </row>
    <row r="107" spans="1:3">
      <c r="A107" s="4">
        <v>80</v>
      </c>
      <c r="B107" s="4">
        <v>673631.62515207252</v>
      </c>
      <c r="C107" s="4">
        <v>-37070.285152072553</v>
      </c>
    </row>
    <row r="108" spans="1:3">
      <c r="A108" s="4">
        <v>81</v>
      </c>
      <c r="B108" s="4">
        <v>641934.67763094523</v>
      </c>
      <c r="C108" s="4">
        <v>-20565.097630945267</v>
      </c>
    </row>
    <row r="109" spans="1:3">
      <c r="A109" s="4">
        <v>82</v>
      </c>
      <c r="B109" s="4">
        <v>616994.0011728988</v>
      </c>
      <c r="C109" s="4">
        <v>65214.008827101206</v>
      </c>
    </row>
    <row r="110" spans="1:3">
      <c r="A110" s="4">
        <v>83</v>
      </c>
      <c r="B110" s="4">
        <v>638088.34420019621</v>
      </c>
      <c r="C110" s="4">
        <v>89153.515799803776</v>
      </c>
    </row>
    <row r="111" spans="1:3">
      <c r="A111" s="4">
        <v>84</v>
      </c>
      <c r="B111" s="4">
        <v>565660.06639544654</v>
      </c>
      <c r="C111" s="4">
        <v>3440.7136045534862</v>
      </c>
    </row>
    <row r="112" spans="1:3">
      <c r="A112" s="4">
        <v>85</v>
      </c>
      <c r="B112" s="4">
        <v>564342.88301705685</v>
      </c>
      <c r="C112" s="4">
        <v>10093.406982943183</v>
      </c>
    </row>
    <row r="113" spans="1:3">
      <c r="A113" s="4">
        <v>86</v>
      </c>
      <c r="B113" s="4">
        <v>623476.43244029616</v>
      </c>
      <c r="C113" s="4">
        <v>-11709.712440296193</v>
      </c>
    </row>
    <row r="114" spans="1:3">
      <c r="A114" s="4">
        <v>87</v>
      </c>
      <c r="B114" s="4">
        <v>617827.19936171197</v>
      </c>
      <c r="C114" s="4">
        <v>-3230.8793617120245</v>
      </c>
    </row>
    <row r="115" spans="1:3">
      <c r="A115" s="4">
        <v>88</v>
      </c>
      <c r="B115" s="4">
        <v>458644.74563212361</v>
      </c>
      <c r="C115" s="4">
        <v>-7932.8256321236258</v>
      </c>
    </row>
    <row r="116" spans="1:3">
      <c r="A116" s="4">
        <v>89</v>
      </c>
      <c r="B116" s="4">
        <v>697720.12468882394</v>
      </c>
      <c r="C116" s="4">
        <v>13493.335311176023</v>
      </c>
    </row>
    <row r="117" spans="1:3">
      <c r="A117" s="4">
        <v>90</v>
      </c>
      <c r="B117" s="4">
        <v>747333.37845070823</v>
      </c>
      <c r="C117" s="4">
        <v>-120161.47845070821</v>
      </c>
    </row>
    <row r="118" spans="1:3">
      <c r="A118" s="4">
        <v>91</v>
      </c>
      <c r="B118" s="4">
        <v>697639.42139524082</v>
      </c>
      <c r="C118" s="4">
        <v>42213.158604759141</v>
      </c>
    </row>
    <row r="119" spans="1:3">
      <c r="A119" s="4">
        <v>92</v>
      </c>
      <c r="B119" s="4">
        <v>563321.32756371098</v>
      </c>
      <c r="C119" s="4">
        <v>22985.892436288996</v>
      </c>
    </row>
    <row r="120" spans="1:3">
      <c r="A120" s="4">
        <v>93</v>
      </c>
      <c r="B120" s="4">
        <v>585691.28516037692</v>
      </c>
      <c r="C120" s="4">
        <v>246.19483962305821</v>
      </c>
    </row>
    <row r="121" spans="1:3">
      <c r="A121" s="4">
        <v>94</v>
      </c>
      <c r="B121" s="4">
        <v>701048.32539094379</v>
      </c>
      <c r="C121" s="4">
        <v>52425.224609056255</v>
      </c>
    </row>
    <row r="122" spans="1:3">
      <c r="A122" s="4">
        <v>95</v>
      </c>
      <c r="B122" s="4">
        <v>765984.54502858955</v>
      </c>
      <c r="C122" s="4">
        <v>72265.774971410399</v>
      </c>
    </row>
    <row r="123" spans="1:3">
      <c r="A123" s="4">
        <v>96</v>
      </c>
      <c r="B123" s="4">
        <v>615091.78840116784</v>
      </c>
      <c r="C123" s="4">
        <v>-7193.6684011678444</v>
      </c>
    </row>
    <row r="124" spans="1:3">
      <c r="A124" s="4">
        <v>97</v>
      </c>
      <c r="B124" s="4">
        <v>676625.57580363832</v>
      </c>
      <c r="C124" s="4">
        <v>14488.044196361676</v>
      </c>
    </row>
    <row r="125" spans="1:3">
      <c r="A125" s="4">
        <v>98</v>
      </c>
      <c r="B125" s="4">
        <v>654179.71586391144</v>
      </c>
      <c r="C125" s="4">
        <v>81329.684136088588</v>
      </c>
    </row>
    <row r="126" spans="1:3">
      <c r="A126" s="4">
        <v>99</v>
      </c>
      <c r="B126" s="4">
        <v>602862.09920586599</v>
      </c>
      <c r="C126" s="4">
        <v>2913.2307941339677</v>
      </c>
    </row>
    <row r="127" spans="1:3">
      <c r="A127" s="4">
        <v>100</v>
      </c>
      <c r="B127" s="4">
        <v>630203.10237774451</v>
      </c>
      <c r="C127" s="4">
        <v>44974.577622255543</v>
      </c>
    </row>
    <row r="128" spans="1:3">
      <c r="A128" s="4">
        <v>101</v>
      </c>
      <c r="B128" s="4">
        <v>576470.50696763059</v>
      </c>
      <c r="C128" s="4">
        <v>58710.84303236939</v>
      </c>
    </row>
    <row r="129" spans="1:3">
      <c r="A129" s="4">
        <v>102</v>
      </c>
      <c r="B129" s="4">
        <v>610214.98775794997</v>
      </c>
      <c r="C129" s="4">
        <v>-23588.047757950029</v>
      </c>
    </row>
    <row r="130" spans="1:3">
      <c r="A130" s="4">
        <v>103</v>
      </c>
      <c r="B130" s="4">
        <v>721986.64215542004</v>
      </c>
      <c r="C130" s="4">
        <v>18115.997844579979</v>
      </c>
    </row>
    <row r="131" spans="1:3">
      <c r="A131" s="4">
        <v>104</v>
      </c>
      <c r="B131" s="4">
        <v>518079.68913128268</v>
      </c>
      <c r="C131" s="4">
        <v>107434.35086871736</v>
      </c>
    </row>
    <row r="132" spans="1:3">
      <c r="A132" s="4">
        <v>105</v>
      </c>
      <c r="B132" s="4">
        <v>711199.14523251122</v>
      </c>
      <c r="C132" s="4">
        <v>16028.054767488735</v>
      </c>
    </row>
    <row r="133" spans="1:3">
      <c r="A133" s="4">
        <v>106</v>
      </c>
      <c r="B133" s="4">
        <v>780036.47198897286</v>
      </c>
      <c r="C133" s="4">
        <v>3761.4180110271554</v>
      </c>
    </row>
    <row r="134" spans="1:3">
      <c r="A134" s="4">
        <v>107</v>
      </c>
      <c r="B134" s="4">
        <v>702908.55619742454</v>
      </c>
      <c r="C134" s="4">
        <v>92245.283802575432</v>
      </c>
    </row>
    <row r="135" spans="1:3">
      <c r="A135" s="4">
        <v>108</v>
      </c>
      <c r="B135" s="4">
        <v>676583.56635217962</v>
      </c>
      <c r="C135" s="4">
        <v>-10988.626352179679</v>
      </c>
    </row>
    <row r="136" spans="1:3">
      <c r="A136" s="4">
        <v>109</v>
      </c>
      <c r="B136" s="4">
        <v>712568.02598169644</v>
      </c>
      <c r="C136" s="4">
        <v>-3089.635981696425</v>
      </c>
    </row>
    <row r="137" spans="1:3">
      <c r="A137" s="4">
        <v>110</v>
      </c>
      <c r="B137" s="4">
        <v>644261.42871135962</v>
      </c>
      <c r="C137" s="4">
        <v>19901.061288640369</v>
      </c>
    </row>
    <row r="138" spans="1:3">
      <c r="A138" s="4">
        <v>111</v>
      </c>
      <c r="B138" s="4">
        <v>648131.55015012482</v>
      </c>
      <c r="C138" s="4">
        <v>-14637.340150124859</v>
      </c>
    </row>
    <row r="139" spans="1:3">
      <c r="A139" s="4">
        <v>112</v>
      </c>
      <c r="B139" s="4">
        <v>598503.21613818372</v>
      </c>
      <c r="C139" s="4">
        <v>115107.94386181631</v>
      </c>
    </row>
    <row r="140" spans="1:3">
      <c r="A140" s="4">
        <v>113</v>
      </c>
      <c r="B140" s="4">
        <v>762273.60625253082</v>
      </c>
      <c r="C140" s="4">
        <v>16124.36374746915</v>
      </c>
    </row>
    <row r="141" spans="1:3">
      <c r="A141" s="4">
        <v>114</v>
      </c>
      <c r="B141" s="4">
        <v>803706.20448907081</v>
      </c>
      <c r="C141" s="4">
        <v>69673.815510929213</v>
      </c>
    </row>
    <row r="142" spans="1:3">
      <c r="A142" s="4">
        <v>115</v>
      </c>
      <c r="B142" s="4">
        <v>740837.02182401868</v>
      </c>
      <c r="C142" s="4">
        <v>-43549.121824018657</v>
      </c>
    </row>
    <row r="143" spans="1:3">
      <c r="A143" s="4">
        <v>116</v>
      </c>
      <c r="B143" s="4">
        <v>734839.39280493045</v>
      </c>
      <c r="C143" s="4">
        <v>-16764.602804930415</v>
      </c>
    </row>
    <row r="144" spans="1:3">
      <c r="A144" s="4">
        <v>117</v>
      </c>
      <c r="B144" s="4">
        <v>702378.86154929269</v>
      </c>
      <c r="C144" s="4">
        <v>12563.56845070736</v>
      </c>
    </row>
    <row r="145" spans="1:3">
      <c r="A145" s="4">
        <v>118</v>
      </c>
      <c r="B145" s="4">
        <v>741819.07211394911</v>
      </c>
      <c r="C145" s="4">
        <v>78699.96788605093</v>
      </c>
    </row>
    <row r="146" spans="1:3">
      <c r="A146" s="4">
        <v>119</v>
      </c>
      <c r="B146" s="4">
        <v>729189.2813617799</v>
      </c>
      <c r="C146" s="4">
        <v>-44971.961361779948</v>
      </c>
    </row>
    <row r="147" spans="1:3">
      <c r="A147" s="4">
        <v>120</v>
      </c>
      <c r="B147" s="4">
        <v>711188.95556235418</v>
      </c>
      <c r="C147" s="4">
        <v>24291.234437645762</v>
      </c>
    </row>
    <row r="148" spans="1:3">
      <c r="A148" s="4">
        <v>121</v>
      </c>
      <c r="B148" s="4">
        <v>580092.25968351332</v>
      </c>
      <c r="C148" s="4">
        <v>-70607.449683513318</v>
      </c>
    </row>
    <row r="149" spans="1:3">
      <c r="A149" s="4">
        <v>122</v>
      </c>
      <c r="B149" s="4">
        <v>626743.40275213425</v>
      </c>
      <c r="C149" s="4">
        <v>27573.687247865717</v>
      </c>
    </row>
    <row r="150" spans="1:3">
      <c r="A150" s="4">
        <v>123</v>
      </c>
      <c r="B150" s="4">
        <v>605964.49657718465</v>
      </c>
      <c r="C150" s="4">
        <v>-48477.236577184638</v>
      </c>
    </row>
    <row r="151" spans="1:3">
      <c r="A151" s="4">
        <v>124</v>
      </c>
      <c r="B151" s="4">
        <v>475426.22652680683</v>
      </c>
      <c r="C151" s="4">
        <v>-34150.806526806846</v>
      </c>
    </row>
    <row r="152" spans="1:3">
      <c r="A152" s="4">
        <v>125</v>
      </c>
      <c r="B152" s="4">
        <v>814791.05313869461</v>
      </c>
      <c r="C152" s="4">
        <v>99753.116861305432</v>
      </c>
    </row>
    <row r="153" spans="1:3">
      <c r="A153" s="4">
        <v>126</v>
      </c>
      <c r="B153" s="4">
        <v>813924.71182143153</v>
      </c>
      <c r="C153" s="4">
        <v>28514.958178568515</v>
      </c>
    </row>
    <row r="154" spans="1:3">
      <c r="A154" s="4">
        <v>127</v>
      </c>
      <c r="B154" s="4">
        <v>774355.61271347699</v>
      </c>
      <c r="C154" s="4">
        <v>67802.30728652305</v>
      </c>
    </row>
    <row r="155" spans="1:3">
      <c r="A155" s="4">
        <v>128</v>
      </c>
      <c r="B155" s="4">
        <v>717562.34884886595</v>
      </c>
      <c r="C155" s="4">
        <v>-20407.048848865903</v>
      </c>
    </row>
    <row r="156" spans="1:3">
      <c r="A156" s="4">
        <v>129</v>
      </c>
      <c r="B156" s="4">
        <v>825847.71873844648</v>
      </c>
      <c r="C156" s="4">
        <v>23170.581261553569</v>
      </c>
    </row>
    <row r="157" spans="1:3">
      <c r="A157" s="4">
        <v>130</v>
      </c>
      <c r="B157" s="4">
        <v>821751.86584348278</v>
      </c>
      <c r="C157" s="4">
        <v>-19921.515843482804</v>
      </c>
    </row>
    <row r="158" spans="1:3">
      <c r="A158" s="4">
        <v>131</v>
      </c>
      <c r="B158" s="4">
        <v>774693.32048987318</v>
      </c>
      <c r="C158" s="4">
        <v>-49458.04048987315</v>
      </c>
    </row>
    <row r="159" spans="1:3">
      <c r="A159" s="4">
        <v>132</v>
      </c>
      <c r="B159" s="4">
        <v>838110.48666574759</v>
      </c>
      <c r="C159" s="4">
        <v>-26657.766665747622</v>
      </c>
    </row>
    <row r="160" spans="1:3">
      <c r="A160" s="4">
        <v>133</v>
      </c>
      <c r="B160" s="4">
        <v>583486.43841171206</v>
      </c>
      <c r="C160" s="4">
        <v>-56186.30841171206</v>
      </c>
    </row>
    <row r="161" spans="1:3">
      <c r="A161" s="4">
        <v>134</v>
      </c>
      <c r="B161" s="4">
        <v>477516.83754798409</v>
      </c>
      <c r="C161" s="4">
        <v>-76685.187547984067</v>
      </c>
    </row>
    <row r="162" spans="1:3">
      <c r="A162" s="4">
        <v>135</v>
      </c>
      <c r="B162" s="4">
        <v>581852.09075220372</v>
      </c>
      <c r="C162" s="4">
        <v>11395.159247796284</v>
      </c>
    </row>
    <row r="163" spans="1:3">
      <c r="A163" s="4">
        <v>136</v>
      </c>
      <c r="B163" s="4">
        <v>538207.6618849861</v>
      </c>
      <c r="C163" s="4">
        <v>-9131.7118849861436</v>
      </c>
    </row>
    <row r="164" spans="1:3">
      <c r="A164" s="4">
        <v>137</v>
      </c>
      <c r="B164" s="4">
        <v>748439.23174097284</v>
      </c>
      <c r="C164" s="4">
        <v>-114801.20174097281</v>
      </c>
    </row>
    <row r="165" spans="1:3">
      <c r="A165" s="4">
        <v>138</v>
      </c>
      <c r="B165" s="4">
        <v>694844.26038866281</v>
      </c>
      <c r="C165" s="4">
        <v>48504.579611337162</v>
      </c>
    </row>
    <row r="166" spans="1:3">
      <c r="A166" s="4">
        <v>139</v>
      </c>
      <c r="B166" s="4">
        <v>692382.49147846911</v>
      </c>
      <c r="C166" s="4">
        <v>66445.148521530908</v>
      </c>
    </row>
    <row r="167" spans="1:3">
      <c r="A167" s="4">
        <v>140</v>
      </c>
      <c r="B167" s="4">
        <v>624272.0723638772</v>
      </c>
      <c r="C167" s="4">
        <v>22287.637636122759</v>
      </c>
    </row>
    <row r="168" spans="1:3">
      <c r="A168" s="4">
        <v>141</v>
      </c>
      <c r="B168" s="4">
        <v>660464.7746772567</v>
      </c>
      <c r="C168" s="4">
        <v>55425.755322743324</v>
      </c>
    </row>
    <row r="169" spans="1:3">
      <c r="A169" s="4">
        <v>142</v>
      </c>
      <c r="B169" s="4">
        <v>680767.6305722578</v>
      </c>
      <c r="C169" s="4">
        <v>34329.939427742152</v>
      </c>
    </row>
    <row r="170" spans="1:3">
      <c r="A170" s="4">
        <v>143</v>
      </c>
      <c r="B170" s="4">
        <v>640623.9175759377</v>
      </c>
      <c r="C170" s="4">
        <v>42015.362424062332</v>
      </c>
    </row>
    <row r="171" spans="1:3">
      <c r="A171" s="4">
        <v>144</v>
      </c>
      <c r="B171" s="4">
        <v>652381.84087266936</v>
      </c>
      <c r="C171" s="4">
        <v>42716.66912733065</v>
      </c>
    </row>
    <row r="172" spans="1:3">
      <c r="A172" s="4">
        <v>145</v>
      </c>
      <c r="B172" s="4">
        <v>618236.92042710795</v>
      </c>
      <c r="C172" s="4">
        <v>-40504.350427108002</v>
      </c>
    </row>
    <row r="173" spans="1:3">
      <c r="A173" s="4">
        <v>146</v>
      </c>
      <c r="B173" s="4">
        <v>566998.87904103671</v>
      </c>
      <c r="C173" s="4">
        <v>-29940.549041036749</v>
      </c>
    </row>
    <row r="174" spans="1:3">
      <c r="A174" s="4">
        <v>147</v>
      </c>
      <c r="B174" s="4">
        <v>598299.33324024337</v>
      </c>
      <c r="C174" s="4">
        <v>3269.5367597566219</v>
      </c>
    </row>
    <row r="175" spans="1:3">
      <c r="A175" s="4">
        <v>148</v>
      </c>
      <c r="B175" s="4">
        <v>579969.19322933035</v>
      </c>
      <c r="C175" s="4">
        <v>-9004.353229330387</v>
      </c>
    </row>
    <row r="176" spans="1:3">
      <c r="A176" s="4">
        <v>149</v>
      </c>
      <c r="B176" s="4">
        <v>640495.28923369793</v>
      </c>
      <c r="C176" s="4">
        <v>-26470.379233697895</v>
      </c>
    </row>
    <row r="177" spans="1:3">
      <c r="A177" s="4">
        <v>150</v>
      </c>
      <c r="B177" s="4">
        <v>672413.91626546718</v>
      </c>
      <c r="C177" s="4">
        <v>40454.433734532795</v>
      </c>
    </row>
    <row r="178" spans="1:3">
      <c r="A178" s="4">
        <v>151</v>
      </c>
      <c r="B178" s="4">
        <v>638125.07367090997</v>
      </c>
      <c r="C178" s="4">
        <v>58619.07632909005</v>
      </c>
    </row>
    <row r="179" spans="1:3">
      <c r="A179" s="4">
        <v>152</v>
      </c>
      <c r="B179" s="4">
        <v>669494.96536704223</v>
      </c>
      <c r="C179" s="4">
        <v>56353.024632957764</v>
      </c>
    </row>
    <row r="180" spans="1:3">
      <c r="A180" s="4">
        <v>153</v>
      </c>
      <c r="B180" s="4">
        <v>796597.64673841838</v>
      </c>
      <c r="C180" s="4">
        <v>-11569.396738418378</v>
      </c>
    </row>
    <row r="181" spans="1:3">
      <c r="A181" s="4">
        <v>154</v>
      </c>
      <c r="B181" s="4">
        <v>691343.77187487017</v>
      </c>
      <c r="C181" s="4">
        <v>7148.8981251298683</v>
      </c>
    </row>
    <row r="182" spans="1:3">
      <c r="A182" s="4">
        <v>155</v>
      </c>
      <c r="B182" s="4">
        <v>720733.07550490054</v>
      </c>
      <c r="C182" s="4">
        <v>-34902.835504900548</v>
      </c>
    </row>
    <row r="183" spans="1:3">
      <c r="A183" s="4">
        <v>156</v>
      </c>
      <c r="B183" s="4">
        <v>697243.23357043206</v>
      </c>
      <c r="C183" s="4">
        <v>5075.7064295678865</v>
      </c>
    </row>
    <row r="184" spans="1:3">
      <c r="A184" s="4">
        <v>157</v>
      </c>
      <c r="B184" s="4">
        <v>717494.54010345333</v>
      </c>
      <c r="C184" s="4">
        <v>-17416.220103453379</v>
      </c>
    </row>
    <row r="185" spans="1:3">
      <c r="A185" s="4">
        <v>158</v>
      </c>
      <c r="B185" s="4">
        <v>627334.68794953846</v>
      </c>
      <c r="C185" s="4">
        <v>-25332.367949538515</v>
      </c>
    </row>
    <row r="186" spans="1:3">
      <c r="A186" s="4">
        <v>159</v>
      </c>
      <c r="B186" s="4">
        <v>694517.23638387164</v>
      </c>
      <c r="C186" s="4">
        <v>29698.833616128308</v>
      </c>
    </row>
    <row r="187" spans="1:3">
      <c r="A187" s="4">
        <v>160</v>
      </c>
      <c r="B187" s="4">
        <v>550290.55496469093</v>
      </c>
      <c r="C187" s="4">
        <v>70682.475035309093</v>
      </c>
    </row>
    <row r="188" spans="1:3">
      <c r="A188" s="4">
        <v>161</v>
      </c>
      <c r="B188" s="4">
        <v>688921.05880561785</v>
      </c>
      <c r="C188" s="4">
        <v>-38440.998805617797</v>
      </c>
    </row>
    <row r="189" spans="1:3">
      <c r="A189" s="4">
        <v>162</v>
      </c>
      <c r="B189" s="4">
        <v>693857.85063246207</v>
      </c>
      <c r="C189" s="4">
        <v>84441.029367537936</v>
      </c>
    </row>
    <row r="190" spans="1:3">
      <c r="A190" s="4">
        <v>163</v>
      </c>
      <c r="B190" s="4">
        <v>724557.76735109987</v>
      </c>
      <c r="C190" s="4">
        <v>-47461.057351099909</v>
      </c>
    </row>
    <row r="191" spans="1:3">
      <c r="A191" s="4">
        <v>164</v>
      </c>
      <c r="B191" s="4">
        <v>679577.10421045334</v>
      </c>
      <c r="C191" s="4">
        <v>12431.535789546673</v>
      </c>
    </row>
    <row r="192" spans="1:3">
      <c r="A192" s="4">
        <v>165</v>
      </c>
      <c r="B192" s="4">
        <v>789138.88096847211</v>
      </c>
      <c r="C192" s="4">
        <v>36659.029031527927</v>
      </c>
    </row>
    <row r="193" spans="1:3">
      <c r="A193" s="4">
        <v>166</v>
      </c>
      <c r="B193" s="4">
        <v>732728.94583282026</v>
      </c>
      <c r="C193" s="4">
        <v>-26443.425832820241</v>
      </c>
    </row>
    <row r="194" spans="1:3">
      <c r="A194" s="4">
        <v>167</v>
      </c>
      <c r="B194" s="4">
        <v>668023.78373269131</v>
      </c>
      <c r="C194" s="4">
        <v>-2489.0837326913606</v>
      </c>
    </row>
    <row r="195" spans="1:3">
      <c r="A195" s="4">
        <v>168</v>
      </c>
      <c r="B195" s="4">
        <v>802905.81554500281</v>
      </c>
      <c r="C195" s="4">
        <v>17823.474454997224</v>
      </c>
    </row>
    <row r="196" spans="1:3">
      <c r="A196" s="4">
        <v>169</v>
      </c>
      <c r="B196" s="4">
        <v>779960.91330591124</v>
      </c>
      <c r="C196" s="4">
        <v>-40129.183305911254</v>
      </c>
    </row>
    <row r="197" spans="1:3">
      <c r="A197" s="4">
        <v>170</v>
      </c>
      <c r="B197" s="4">
        <v>690045.55139960314</v>
      </c>
      <c r="C197" s="4">
        <v>-96408.411399603123</v>
      </c>
    </row>
    <row r="198" spans="1:3">
      <c r="A198" s="4">
        <v>171</v>
      </c>
      <c r="B198" s="4">
        <v>751178.35697839188</v>
      </c>
      <c r="C198" s="4">
        <v>18524.40302160813</v>
      </c>
    </row>
    <row r="199" spans="1:3">
      <c r="A199" s="4">
        <v>172</v>
      </c>
      <c r="B199" s="4">
        <v>695788.72942324483</v>
      </c>
      <c r="C199" s="4">
        <v>-16057.159423244884</v>
      </c>
    </row>
    <row r="200" spans="1:3">
      <c r="A200" s="4">
        <v>173</v>
      </c>
      <c r="B200" s="4">
        <v>760455.75661552337</v>
      </c>
      <c r="C200" s="4">
        <v>19888.423384476686</v>
      </c>
    </row>
    <row r="201" spans="1:3">
      <c r="A201" s="4">
        <v>174</v>
      </c>
      <c r="B201" s="4">
        <v>765161.26452445937</v>
      </c>
      <c r="C201" s="4">
        <v>-43797.154524459387</v>
      </c>
    </row>
    <row r="202" spans="1:3">
      <c r="A202" s="4">
        <v>175</v>
      </c>
      <c r="B202" s="4">
        <v>802834.58515667228</v>
      </c>
      <c r="C202" s="4">
        <v>-44696.295156672248</v>
      </c>
    </row>
    <row r="203" spans="1:3">
      <c r="A203" s="4">
        <v>176</v>
      </c>
      <c r="B203" s="4">
        <v>813477.3063287884</v>
      </c>
      <c r="C203" s="4">
        <v>-9213.3063287883997</v>
      </c>
    </row>
    <row r="204" spans="1:3">
      <c r="A204" s="4">
        <v>177</v>
      </c>
      <c r="B204" s="4">
        <v>894228.89010214154</v>
      </c>
      <c r="C204" s="4">
        <v>-6691.1401021415368</v>
      </c>
    </row>
    <row r="205" spans="1:3">
      <c r="A205" s="4">
        <v>178</v>
      </c>
      <c r="B205" s="4">
        <v>690906.21099330334</v>
      </c>
      <c r="C205" s="4">
        <v>92675.789006696665</v>
      </c>
    </row>
    <row r="206" spans="1:3">
      <c r="A206" s="4">
        <v>179</v>
      </c>
      <c r="B206" s="4">
        <v>747269.63575476222</v>
      </c>
      <c r="C206" s="4">
        <v>34685.884245237801</v>
      </c>
    </row>
    <row r="207" spans="1:3">
      <c r="A207" s="4">
        <v>180</v>
      </c>
      <c r="B207" s="4">
        <v>826330.02505674225</v>
      </c>
      <c r="C207" s="4">
        <v>71701.014943257789</v>
      </c>
    </row>
    <row r="208" spans="1:3">
      <c r="A208" s="4">
        <v>181</v>
      </c>
      <c r="B208" s="4">
        <v>858908.17544813058</v>
      </c>
      <c r="C208" s="4">
        <v>-3566.8954481305555</v>
      </c>
    </row>
    <row r="209" spans="1:3">
      <c r="A209" s="4">
        <v>182</v>
      </c>
      <c r="B209" s="4">
        <v>757602.27351468289</v>
      </c>
      <c r="C209" s="4">
        <v>-6208.3935146828881</v>
      </c>
    </row>
    <row r="210" spans="1:3">
      <c r="A210" s="4">
        <v>183</v>
      </c>
      <c r="B210" s="4">
        <v>797764.20759947679</v>
      </c>
      <c r="C210" s="4">
        <v>-36687.127599476837</v>
      </c>
    </row>
    <row r="211" spans="1:3">
      <c r="A211" s="4">
        <v>184</v>
      </c>
      <c r="B211" s="4">
        <v>827029.11772628885</v>
      </c>
      <c r="C211" s="4">
        <v>-7368.5277262888849</v>
      </c>
    </row>
    <row r="212" spans="1:3">
      <c r="A212" s="4">
        <v>185</v>
      </c>
      <c r="B212" s="4">
        <v>687915.85052306694</v>
      </c>
      <c r="C212" s="4">
        <v>-6060.2905230668839</v>
      </c>
    </row>
    <row r="213" spans="1:3">
      <c r="A213" s="4">
        <v>186</v>
      </c>
      <c r="B213" s="4">
        <v>635416.76818881452</v>
      </c>
      <c r="C213" s="4">
        <v>42894.401811185526</v>
      </c>
    </row>
    <row r="214" spans="1:3">
      <c r="A214" s="4">
        <v>187</v>
      </c>
      <c r="B214" s="4">
        <v>675884.89831018797</v>
      </c>
      <c r="C214" s="4">
        <v>90022.051689811982</v>
      </c>
    </row>
    <row r="215" spans="1:3">
      <c r="A215" s="4">
        <v>188</v>
      </c>
      <c r="B215" s="4">
        <v>748846.43274083571</v>
      </c>
      <c r="C215" s="4">
        <v>-36300.052740835701</v>
      </c>
    </row>
    <row r="216" spans="1:3">
      <c r="A216" s="4">
        <v>189</v>
      </c>
      <c r="B216" s="4">
        <v>606204.75822694344</v>
      </c>
      <c r="C216" s="4">
        <v>19789.071773056523</v>
      </c>
    </row>
    <row r="217" spans="1:3">
      <c r="A217" s="4">
        <v>190</v>
      </c>
      <c r="B217" s="4">
        <v>543141.00051998626</v>
      </c>
      <c r="C217" s="4">
        <v>7821.9294800137868</v>
      </c>
    </row>
    <row r="218" spans="1:3">
      <c r="A218" s="4">
        <v>191</v>
      </c>
      <c r="B218" s="4">
        <v>469844.33592189348</v>
      </c>
      <c r="C218" s="4">
        <v>-26568.745921893453</v>
      </c>
    </row>
    <row r="219" spans="1:3">
      <c r="A219" s="4">
        <v>192</v>
      </c>
      <c r="B219" s="4">
        <v>601560.06467992812</v>
      </c>
      <c r="C219" s="4">
        <v>-47547.994679928175</v>
      </c>
    </row>
    <row r="220" spans="1:3">
      <c r="A220" s="4">
        <v>193</v>
      </c>
      <c r="B220" s="4">
        <v>692560.73396348266</v>
      </c>
      <c r="C220" s="4">
        <v>-49131.883963482687</v>
      </c>
    </row>
    <row r="221" spans="1:3">
      <c r="A221" s="4">
        <v>194</v>
      </c>
      <c r="B221" s="4">
        <v>624815.52161674958</v>
      </c>
      <c r="C221" s="4">
        <v>-12891.251616749563</v>
      </c>
    </row>
    <row r="222" spans="1:3">
      <c r="A222" s="4">
        <v>195</v>
      </c>
      <c r="B222" s="4">
        <v>572130.36258772726</v>
      </c>
      <c r="C222" s="4">
        <v>-12708.342587727238</v>
      </c>
    </row>
    <row r="223" spans="1:3">
      <c r="A223" s="4">
        <v>196</v>
      </c>
      <c r="B223" s="4">
        <v>539551.72412476584</v>
      </c>
      <c r="C223" s="4">
        <v>-90086.664124765841</v>
      </c>
    </row>
    <row r="224" spans="1:3">
      <c r="A224" s="4">
        <v>197</v>
      </c>
      <c r="B224" s="4">
        <v>648157.61239706329</v>
      </c>
      <c r="C224" s="4">
        <v>43289.817602936761</v>
      </c>
    </row>
    <row r="225" spans="1:3">
      <c r="A225" s="4">
        <v>198</v>
      </c>
      <c r="B225" s="4">
        <v>614118.95915334567</v>
      </c>
      <c r="C225" s="4">
        <v>-40052.349153345684</v>
      </c>
    </row>
    <row r="226" spans="1:3">
      <c r="A226" s="4">
        <v>199</v>
      </c>
      <c r="B226" s="4">
        <v>613399.634160463</v>
      </c>
      <c r="C226" s="4">
        <v>-34449.794160463032</v>
      </c>
    </row>
    <row r="227" spans="1:3">
      <c r="A227" s="4">
        <v>200</v>
      </c>
      <c r="B227" s="4">
        <v>648531.77706220781</v>
      </c>
      <c r="C227" s="4">
        <v>87254.862937792204</v>
      </c>
    </row>
    <row r="228" spans="1:3">
      <c r="A228" s="4">
        <v>201</v>
      </c>
      <c r="B228" s="4">
        <v>621711.51976274594</v>
      </c>
      <c r="C228" s="4">
        <v>-22806.619762745919</v>
      </c>
    </row>
    <row r="229" spans="1:3">
      <c r="A229" s="4">
        <v>202</v>
      </c>
      <c r="B229" s="4">
        <v>696760.22370832425</v>
      </c>
      <c r="C229" s="4">
        <v>90955.286291675759</v>
      </c>
    </row>
    <row r="230" spans="1:3">
      <c r="A230" s="4">
        <v>203</v>
      </c>
      <c r="B230" s="4">
        <v>675896.36402022233</v>
      </c>
      <c r="C230" s="4">
        <v>-68811.44402022229</v>
      </c>
    </row>
    <row r="231" spans="1:3">
      <c r="A231" s="4">
        <v>204</v>
      </c>
      <c r="B231" s="4">
        <v>670482.2694377047</v>
      </c>
      <c r="C231" s="4">
        <v>-19686.77943770471</v>
      </c>
    </row>
    <row r="232" spans="1:3">
      <c r="A232" s="4">
        <v>205</v>
      </c>
      <c r="B232" s="4">
        <v>823120.39319348312</v>
      </c>
      <c r="C232" s="4">
        <v>1940.1268065168988</v>
      </c>
    </row>
    <row r="233" spans="1:3">
      <c r="A233" s="4">
        <v>206</v>
      </c>
      <c r="B233" s="4">
        <v>723555.82872879948</v>
      </c>
      <c r="C233" s="4">
        <v>71908.641271200497</v>
      </c>
    </row>
    <row r="234" spans="1:3">
      <c r="A234" s="4">
        <v>207</v>
      </c>
      <c r="B234" s="4">
        <v>748608.48286144377</v>
      </c>
      <c r="C234" s="4">
        <v>-76739.892861443805</v>
      </c>
    </row>
    <row r="235" spans="1:3">
      <c r="A235" s="4">
        <v>208</v>
      </c>
      <c r="B235" s="4">
        <v>739481.40585015505</v>
      </c>
      <c r="C235" s="4">
        <v>-63563.775850155042</v>
      </c>
    </row>
    <row r="236" spans="1:3">
      <c r="A236" s="4">
        <v>209</v>
      </c>
      <c r="B236" s="4">
        <v>810185.46360147628</v>
      </c>
      <c r="C236" s="4">
        <v>261.06639852374792</v>
      </c>
    </row>
    <row r="237" spans="1:3">
      <c r="A237" s="4">
        <v>210</v>
      </c>
      <c r="B237" s="4">
        <v>780660.48684842919</v>
      </c>
      <c r="C237" s="4">
        <v>-89372.296848429251</v>
      </c>
    </row>
    <row r="238" spans="1:3">
      <c r="A238" s="4">
        <v>211</v>
      </c>
      <c r="B238" s="4">
        <v>958438.28698671458</v>
      </c>
      <c r="C238" s="4">
        <v>-11604.746986714541</v>
      </c>
    </row>
    <row r="239" spans="1:3">
      <c r="A239" s="4">
        <v>212</v>
      </c>
      <c r="B239" s="4">
        <v>782198.0343023492</v>
      </c>
      <c r="C239" s="4">
        <v>-20234.804302349221</v>
      </c>
    </row>
    <row r="240" spans="1:3">
      <c r="A240" s="4">
        <v>213</v>
      </c>
      <c r="B240" s="4">
        <v>775767.90042674937</v>
      </c>
      <c r="C240" s="4">
        <v>36384.699573250604</v>
      </c>
    </row>
    <row r="241" spans="1:3">
      <c r="A241" s="4">
        <v>214</v>
      </c>
      <c r="B241" s="4">
        <v>757168.03064839565</v>
      </c>
      <c r="C241" s="4">
        <v>47807.469351604348</v>
      </c>
    </row>
    <row r="242" spans="1:3">
      <c r="A242" s="4">
        <v>215</v>
      </c>
      <c r="B242" s="4">
        <v>770961.2142002011</v>
      </c>
      <c r="C242" s="4">
        <v>-18639.494200201123</v>
      </c>
    </row>
    <row r="243" spans="1:3">
      <c r="A243" s="4">
        <v>216</v>
      </c>
      <c r="B243" s="4">
        <v>824451.4216605043</v>
      </c>
      <c r="C243" s="4">
        <v>12456.818339495687</v>
      </c>
    </row>
    <row r="244" spans="1:3">
      <c r="A244" s="4">
        <v>217</v>
      </c>
      <c r="B244" s="4">
        <v>656862.03774729942</v>
      </c>
      <c r="C244" s="4">
        <v>17427.062252700562</v>
      </c>
    </row>
    <row r="245" spans="1:3">
      <c r="A245" s="4">
        <v>218</v>
      </c>
      <c r="B245" s="4">
        <v>593750.99745248479</v>
      </c>
      <c r="C245" s="4">
        <v>29141.422547515249</v>
      </c>
    </row>
    <row r="246" spans="1:3">
      <c r="A246" s="4">
        <v>219</v>
      </c>
      <c r="B246" s="4">
        <v>604889.76305588486</v>
      </c>
      <c r="C246" s="4">
        <v>68458.796944115194</v>
      </c>
    </row>
    <row r="247" spans="1:3">
      <c r="A247" s="4">
        <v>220</v>
      </c>
      <c r="B247" s="4">
        <v>572792.07601229975</v>
      </c>
      <c r="C247" s="4">
        <v>33486.223987700301</v>
      </c>
    </row>
    <row r="248" spans="1:3">
      <c r="A248" s="4">
        <v>221</v>
      </c>
      <c r="B248" s="4">
        <v>699452.86765290902</v>
      </c>
      <c r="C248" s="4">
        <v>12766.942347091041</v>
      </c>
    </row>
    <row r="249" spans="1:3">
      <c r="A249" s="4">
        <v>222</v>
      </c>
      <c r="B249" s="4">
        <v>678902.57347481058</v>
      </c>
      <c r="C249" s="4">
        <v>-6232.0334748105379</v>
      </c>
    </row>
    <row r="250" spans="1:3">
      <c r="A250" s="4">
        <v>223</v>
      </c>
      <c r="B250" s="4">
        <v>737196.34944668179</v>
      </c>
      <c r="C250" s="4">
        <v>-4528.4294466817519</v>
      </c>
    </row>
    <row r="251" spans="1:3">
      <c r="A251" s="4">
        <v>224</v>
      </c>
      <c r="B251" s="4">
        <v>781764.62422442646</v>
      </c>
      <c r="C251" s="4">
        <v>-58233.224224426434</v>
      </c>
    </row>
    <row r="252" spans="1:3">
      <c r="A252" s="4">
        <v>225</v>
      </c>
      <c r="B252" s="4">
        <v>625144.44373897486</v>
      </c>
      <c r="C252" s="4">
        <v>16420.156261025113</v>
      </c>
    </row>
    <row r="253" spans="1:3">
      <c r="A253" s="4">
        <v>226</v>
      </c>
      <c r="B253" s="4">
        <v>557712.41118736111</v>
      </c>
      <c r="C253" s="4">
        <v>-21166.92118736112</v>
      </c>
    </row>
    <row r="254" spans="1:3">
      <c r="A254" s="4">
        <v>227</v>
      </c>
      <c r="B254" s="4">
        <v>570861.31000628695</v>
      </c>
      <c r="C254" s="4">
        <v>-43179.750006286893</v>
      </c>
    </row>
    <row r="255" spans="1:3">
      <c r="A255" s="4">
        <v>228</v>
      </c>
      <c r="B255" s="4">
        <v>490072.03176239133</v>
      </c>
      <c r="C255" s="4">
        <v>39526.908237608615</v>
      </c>
    </row>
    <row r="256" spans="1:3">
      <c r="A256" s="4">
        <v>229</v>
      </c>
      <c r="B256" s="4">
        <v>643337.8390515385</v>
      </c>
      <c r="C256" s="4">
        <v>-72374.52905153844</v>
      </c>
    </row>
    <row r="257" spans="1:3">
      <c r="A257" s="4">
        <v>230</v>
      </c>
      <c r="B257" s="4">
        <v>818496.03165008</v>
      </c>
      <c r="C257" s="4">
        <v>52441.368349920027</v>
      </c>
    </row>
    <row r="258" spans="1:3">
      <c r="A258" s="4">
        <v>231</v>
      </c>
      <c r="B258" s="4">
        <v>649631.50141536375</v>
      </c>
      <c r="C258" s="4">
        <v>-52662.231415363727</v>
      </c>
    </row>
    <row r="259" spans="1:3">
      <c r="A259" s="4">
        <v>232</v>
      </c>
      <c r="B259" s="4">
        <v>619935.64856642007</v>
      </c>
      <c r="C259" s="4">
        <v>27577.201433579903</v>
      </c>
    </row>
    <row r="260" spans="1:3">
      <c r="A260" s="4">
        <v>233</v>
      </c>
      <c r="B260" s="4">
        <v>597951.69799367746</v>
      </c>
      <c r="C260" s="4">
        <v>60120.442006322555</v>
      </c>
    </row>
    <row r="261" spans="1:3">
      <c r="A261" s="4">
        <v>234</v>
      </c>
      <c r="B261" s="4">
        <v>644543.89151204098</v>
      </c>
      <c r="C261" s="4">
        <v>78761.218487959006</v>
      </c>
    </row>
    <row r="262" spans="1:3">
      <c r="A262" s="4">
        <v>235</v>
      </c>
      <c r="B262" s="4">
        <v>657843.33414926741</v>
      </c>
      <c r="C262" s="4">
        <v>-17176.80414926738</v>
      </c>
    </row>
    <row r="263" spans="1:3">
      <c r="A263" s="4">
        <v>236</v>
      </c>
      <c r="B263" s="4">
        <v>658137.94679863309</v>
      </c>
      <c r="C263" s="4">
        <v>12491.533201366896</v>
      </c>
    </row>
    <row r="264" spans="1:3">
      <c r="A264" s="4">
        <v>237</v>
      </c>
      <c r="B264" s="4">
        <v>781649.71712326608</v>
      </c>
      <c r="C264" s="4">
        <v>-60570.3671232661</v>
      </c>
    </row>
    <row r="265" spans="1:3">
      <c r="A265" s="4">
        <v>238</v>
      </c>
      <c r="B265" s="4">
        <v>815775.21086039394</v>
      </c>
      <c r="C265" s="4">
        <v>-5420.1908603939228</v>
      </c>
    </row>
    <row r="266" spans="1:3">
      <c r="A266" s="4">
        <v>239</v>
      </c>
      <c r="B266" s="4">
        <v>781779.38441428298</v>
      </c>
      <c r="C266" s="4">
        <v>-19860.134414282977</v>
      </c>
    </row>
    <row r="267" spans="1:3">
      <c r="A267" s="4">
        <v>240</v>
      </c>
      <c r="B267" s="4">
        <v>733118.83187125192</v>
      </c>
      <c r="C267" s="4">
        <v>3951.3481287481263</v>
      </c>
    </row>
    <row r="268" spans="1:3">
      <c r="A268" s="4">
        <v>241</v>
      </c>
      <c r="B268" s="4">
        <v>731665.45568281889</v>
      </c>
      <c r="C268" s="4">
        <v>45327.474317181157</v>
      </c>
    </row>
    <row r="269" spans="1:3">
      <c r="A269" s="4">
        <v>242</v>
      </c>
      <c r="B269" s="4">
        <v>650349.96772853844</v>
      </c>
      <c r="C269" s="4">
        <v>25987.442271461594</v>
      </c>
    </row>
    <row r="270" spans="1:3">
      <c r="A270" s="4">
        <v>243</v>
      </c>
      <c r="B270" s="4">
        <v>811918.35845141544</v>
      </c>
      <c r="C270" s="4">
        <v>16301.311548584606</v>
      </c>
    </row>
    <row r="271" spans="1:3">
      <c r="A271" s="4">
        <v>244</v>
      </c>
      <c r="B271" s="4">
        <v>736566.99475477391</v>
      </c>
      <c r="C271" s="4">
        <v>26592.925245226128</v>
      </c>
    </row>
    <row r="272" spans="1:3">
      <c r="A272" s="4">
        <v>245</v>
      </c>
      <c r="B272" s="4">
        <v>786627.70108776772</v>
      </c>
      <c r="C272" s="4">
        <v>15373.978912232327</v>
      </c>
    </row>
    <row r="273" spans="1:3">
      <c r="A273" s="4">
        <v>246</v>
      </c>
      <c r="B273" s="4">
        <v>754817.02692996245</v>
      </c>
      <c r="C273" s="4">
        <v>-4345.6869299624814</v>
      </c>
    </row>
    <row r="274" spans="1:3">
      <c r="A274" s="4">
        <v>247</v>
      </c>
      <c r="B274" s="4">
        <v>701064.68065494078</v>
      </c>
      <c r="C274" s="4">
        <v>-21833.820654940791</v>
      </c>
    </row>
    <row r="275" spans="1:3">
      <c r="A275" s="4">
        <v>248</v>
      </c>
      <c r="B275" s="4">
        <v>684097.90305379976</v>
      </c>
      <c r="C275" s="4">
        <v>-4209.1630537997698</v>
      </c>
    </row>
    <row r="276" spans="1:3">
      <c r="A276" s="4">
        <v>249</v>
      </c>
      <c r="B276" s="4">
        <v>571951.74652953132</v>
      </c>
      <c r="C276" s="4">
        <v>34831.923470468726</v>
      </c>
    </row>
    <row r="277" spans="1:3">
      <c r="A277" s="4">
        <v>250</v>
      </c>
      <c r="B277" s="4">
        <v>682441.29505928315</v>
      </c>
      <c r="C277" s="4">
        <v>-39689.875059283106</v>
      </c>
    </row>
    <row r="278" spans="1:3">
      <c r="A278" s="4">
        <v>251</v>
      </c>
      <c r="B278" s="4">
        <v>640117.59736133472</v>
      </c>
      <c r="C278" s="4">
        <v>7836.182638665312</v>
      </c>
    </row>
    <row r="279" spans="1:3">
      <c r="A279" s="4">
        <v>252</v>
      </c>
      <c r="B279" s="4">
        <v>740711.70623059338</v>
      </c>
      <c r="C279" s="4">
        <v>-11271.256230593426</v>
      </c>
    </row>
    <row r="280" spans="1:3">
      <c r="A280" s="4">
        <v>253</v>
      </c>
      <c r="B280" s="4">
        <v>723006.77183124667</v>
      </c>
      <c r="C280" s="4">
        <v>41942.228168753325</v>
      </c>
    </row>
    <row r="281" spans="1:3">
      <c r="A281" s="4">
        <v>254</v>
      </c>
      <c r="B281" s="4">
        <v>702806.55418291385</v>
      </c>
      <c r="C281" s="4">
        <v>96240.385817086091</v>
      </c>
    </row>
    <row r="282" spans="1:3">
      <c r="A282" s="4">
        <v>255</v>
      </c>
      <c r="B282" s="4">
        <v>676757.46870179789</v>
      </c>
      <c r="C282" s="4">
        <v>43322.071298202151</v>
      </c>
    </row>
    <row r="283" spans="1:3">
      <c r="A283" s="4">
        <v>256</v>
      </c>
      <c r="B283" s="4">
        <v>642802.85239896923</v>
      </c>
      <c r="C283" s="4">
        <v>-30412.712398969219</v>
      </c>
    </row>
    <row r="284" spans="1:3">
      <c r="A284" s="4">
        <v>257</v>
      </c>
      <c r="B284" s="4">
        <v>750637.56305120292</v>
      </c>
      <c r="C284" s="4">
        <v>89470.556948797079</v>
      </c>
    </row>
    <row r="285" spans="1:3">
      <c r="A285" s="4">
        <v>258</v>
      </c>
      <c r="B285" s="4">
        <v>683946.79219456192</v>
      </c>
      <c r="C285" s="4">
        <v>13941.297805438051</v>
      </c>
    </row>
    <row r="286" spans="1:3">
      <c r="A286" s="4">
        <v>259</v>
      </c>
      <c r="B286" s="4">
        <v>734386.94874923991</v>
      </c>
      <c r="C286" s="4">
        <v>11728.641250760062</v>
      </c>
    </row>
    <row r="287" spans="1:3">
      <c r="A287" s="4">
        <v>260</v>
      </c>
      <c r="B287" s="4">
        <v>713233.32204770308</v>
      </c>
      <c r="C287" s="4">
        <v>62876.997952296864</v>
      </c>
    </row>
    <row r="288" spans="1:3">
      <c r="A288" s="4">
        <v>261</v>
      </c>
      <c r="B288" s="4">
        <v>514385.23105076089</v>
      </c>
      <c r="C288" s="4">
        <v>14467.388949239103</v>
      </c>
    </row>
    <row r="289" spans="1:3">
      <c r="A289" s="4">
        <v>262</v>
      </c>
      <c r="B289" s="4">
        <v>601975.95007775049</v>
      </c>
      <c r="C289" s="4">
        <v>3775.3799222494708</v>
      </c>
    </row>
    <row r="290" spans="1:3">
      <c r="A290" s="4">
        <v>263</v>
      </c>
      <c r="B290" s="4">
        <v>622565.60003430559</v>
      </c>
      <c r="C290" s="4">
        <v>55075.04996569443</v>
      </c>
    </row>
    <row r="291" spans="1:3">
      <c r="A291" s="4">
        <v>264</v>
      </c>
      <c r="B291" s="4">
        <v>589552.37038637395</v>
      </c>
      <c r="C291" s="4">
        <v>47060.859613626031</v>
      </c>
    </row>
    <row r="292" spans="1:3">
      <c r="A292" s="4">
        <v>265</v>
      </c>
      <c r="B292" s="4">
        <v>711523.77769299853</v>
      </c>
      <c r="C292" s="4">
        <v>-2538.5876929985825</v>
      </c>
    </row>
    <row r="293" spans="1:3">
      <c r="A293" s="4">
        <v>266</v>
      </c>
      <c r="B293" s="4">
        <v>744392.92070327303</v>
      </c>
      <c r="C293" s="4">
        <v>23400.01929672691</v>
      </c>
    </row>
    <row r="294" spans="1:3">
      <c r="A294" s="4">
        <v>267</v>
      </c>
      <c r="B294" s="4">
        <v>723685.43270540331</v>
      </c>
      <c r="C294" s="4">
        <v>21895.077294596704</v>
      </c>
    </row>
    <row r="295" spans="1:3">
      <c r="A295" s="4">
        <v>268</v>
      </c>
      <c r="B295" s="4">
        <v>724623.86995642749</v>
      </c>
      <c r="C295" s="4">
        <v>37704.440043572569</v>
      </c>
    </row>
    <row r="296" spans="1:3">
      <c r="A296" s="4">
        <v>269</v>
      </c>
      <c r="B296" s="4">
        <v>723322.78758485196</v>
      </c>
      <c r="C296" s="4">
        <v>-62688.797584851971</v>
      </c>
    </row>
    <row r="297" spans="1:3">
      <c r="A297" s="4">
        <v>270</v>
      </c>
      <c r="B297" s="4">
        <v>691238.84154675843</v>
      </c>
      <c r="C297" s="4">
        <v>48135.718453241629</v>
      </c>
    </row>
    <row r="298" spans="1:3">
      <c r="A298" s="4">
        <v>271</v>
      </c>
      <c r="B298" s="4">
        <v>801779.81888193463</v>
      </c>
      <c r="C298" s="4">
        <v>-2023.3588819346623</v>
      </c>
    </row>
    <row r="299" spans="1:3">
      <c r="A299" s="4">
        <v>272</v>
      </c>
      <c r="B299" s="4">
        <v>680684.36595990858</v>
      </c>
      <c r="C299" s="4">
        <v>-87341.36595990858</v>
      </c>
    </row>
    <row r="300" spans="1:3">
      <c r="A300" s="4">
        <v>273</v>
      </c>
      <c r="B300" s="4">
        <v>650939.55684469535</v>
      </c>
      <c r="C300" s="4">
        <v>-5899.5868446953828</v>
      </c>
    </row>
    <row r="301" spans="1:3">
      <c r="A301" s="4">
        <v>274</v>
      </c>
      <c r="B301" s="4">
        <v>525563.14631630003</v>
      </c>
      <c r="C301" s="4">
        <v>36034.183683699928</v>
      </c>
    </row>
    <row r="302" spans="1:3">
      <c r="A302" s="4">
        <v>275</v>
      </c>
      <c r="B302" s="4">
        <v>642369.59342694015</v>
      </c>
      <c r="C302" s="4">
        <v>-6531.8534269401571</v>
      </c>
    </row>
    <row r="303" spans="1:3">
      <c r="A303" s="4">
        <v>276</v>
      </c>
      <c r="B303" s="4">
        <v>626601.34619293839</v>
      </c>
      <c r="C303" s="4">
        <v>60136.523807061603</v>
      </c>
    </row>
    <row r="304" spans="1:3">
      <c r="A304" s="4">
        <v>277</v>
      </c>
      <c r="B304" s="4">
        <v>753036.14822009625</v>
      </c>
      <c r="C304" s="4">
        <v>-79959.808220096282</v>
      </c>
    </row>
    <row r="305" spans="1:3">
      <c r="A305" s="4">
        <v>278</v>
      </c>
      <c r="B305" s="4">
        <v>717622.79818639776</v>
      </c>
      <c r="C305" s="4">
        <v>20925.62181360228</v>
      </c>
    </row>
    <row r="306" spans="1:3">
      <c r="A306" s="4">
        <v>279</v>
      </c>
      <c r="B306" s="4">
        <v>756257.7182090003</v>
      </c>
      <c r="C306" s="4">
        <v>362.05179099971429</v>
      </c>
    </row>
    <row r="307" spans="1:3">
      <c r="A307" s="4">
        <v>280</v>
      </c>
      <c r="B307" s="4">
        <v>792118.07335520559</v>
      </c>
      <c r="C307" s="4">
        <v>-30995.653355205548</v>
      </c>
    </row>
    <row r="308" spans="1:3">
      <c r="A308" s="4">
        <v>281</v>
      </c>
      <c r="B308" s="4">
        <v>588373.00325924356</v>
      </c>
      <c r="C308" s="4">
        <v>-63473.433259243611</v>
      </c>
    </row>
    <row r="309" spans="1:3">
      <c r="A309" s="4">
        <v>282</v>
      </c>
      <c r="B309" s="4">
        <v>588546.73177163966</v>
      </c>
      <c r="C309" s="4">
        <v>-32988.961771639646</v>
      </c>
    </row>
    <row r="310" spans="1:3">
      <c r="A310" s="4">
        <v>283</v>
      </c>
      <c r="B310" s="4">
        <v>668768.17562808376</v>
      </c>
      <c r="C310" s="4">
        <v>45315.504371916293</v>
      </c>
    </row>
    <row r="311" spans="1:3">
      <c r="A311" s="4">
        <v>284</v>
      </c>
      <c r="B311" s="4">
        <v>519473.37612025469</v>
      </c>
      <c r="C311" s="4">
        <v>-22033.556120254681</v>
      </c>
    </row>
    <row r="312" spans="1:3">
      <c r="A312" s="4">
        <v>285</v>
      </c>
      <c r="B312" s="4">
        <v>661396.39235302061</v>
      </c>
      <c r="C312" s="4">
        <v>-24620.732353020576</v>
      </c>
    </row>
    <row r="313" spans="1:3">
      <c r="A313" s="4">
        <v>286</v>
      </c>
      <c r="B313" s="4">
        <v>629872.53899886378</v>
      </c>
      <c r="C313" s="4">
        <v>3136.9910011362517</v>
      </c>
    </row>
    <row r="314" spans="1:3">
      <c r="A314" s="4">
        <v>287</v>
      </c>
      <c r="B314" s="4">
        <v>593536.81135356112</v>
      </c>
      <c r="C314" s="4">
        <v>16412.188646438881</v>
      </c>
    </row>
    <row r="315" spans="1:3">
      <c r="A315" s="4">
        <v>288</v>
      </c>
      <c r="B315" s="4">
        <v>575776.27347890602</v>
      </c>
      <c r="C315" s="4">
        <v>-27672.573478906066</v>
      </c>
    </row>
    <row r="316" spans="1:3">
      <c r="A316" s="4">
        <v>289</v>
      </c>
      <c r="B316" s="4">
        <v>746884.35082518519</v>
      </c>
      <c r="C316" s="4">
        <v>-17459.930825185147</v>
      </c>
    </row>
    <row r="317" spans="1:3">
      <c r="A317" s="4">
        <v>290</v>
      </c>
      <c r="B317" s="4">
        <v>721532.75407625013</v>
      </c>
      <c r="C317" s="4">
        <v>-25271.26407625014</v>
      </c>
    </row>
    <row r="318" spans="1:3">
      <c r="A318" s="4">
        <v>291</v>
      </c>
      <c r="B318" s="4">
        <v>747233.33487552626</v>
      </c>
      <c r="C318" s="4">
        <v>66083.375124473707</v>
      </c>
    </row>
    <row r="319" spans="1:3">
      <c r="A319" s="4">
        <v>292</v>
      </c>
      <c r="B319" s="4">
        <v>706299.70252680127</v>
      </c>
      <c r="C319" s="4">
        <v>-4230.7825268012239</v>
      </c>
    </row>
    <row r="320" spans="1:3">
      <c r="A320" s="4">
        <v>293</v>
      </c>
      <c r="B320" s="4">
        <v>586492.40084741148</v>
      </c>
      <c r="C320" s="4">
        <v>-40268.700847411528</v>
      </c>
    </row>
    <row r="321" spans="1:3">
      <c r="A321" s="4">
        <v>294</v>
      </c>
      <c r="B321" s="4">
        <v>521560.91265697096</v>
      </c>
      <c r="C321" s="4">
        <v>11560.347343029047</v>
      </c>
    </row>
    <row r="322" spans="1:3">
      <c r="A322" s="4">
        <v>295</v>
      </c>
      <c r="B322" s="4">
        <v>497553.51968560653</v>
      </c>
      <c r="C322" s="4">
        <v>1416.8003143934766</v>
      </c>
    </row>
    <row r="323" spans="1:3">
      <c r="A323" s="4">
        <v>296</v>
      </c>
      <c r="B323" s="4">
        <v>481318.38071780658</v>
      </c>
      <c r="C323" s="4">
        <v>6419.879282193433</v>
      </c>
    </row>
    <row r="324" spans="1:3">
      <c r="A324" s="4">
        <v>297</v>
      </c>
      <c r="B324" s="4">
        <v>665017.06357538514</v>
      </c>
      <c r="C324" s="4">
        <v>3442.306424614857</v>
      </c>
    </row>
    <row r="325" spans="1:3">
      <c r="A325" s="4">
        <v>298</v>
      </c>
      <c r="B325" s="4">
        <v>659230.93100195203</v>
      </c>
      <c r="C325" s="4">
        <v>103931.51899804792</v>
      </c>
    </row>
    <row r="326" spans="1:3">
      <c r="A326" s="4">
        <v>299</v>
      </c>
      <c r="B326" s="4">
        <v>613987.51811189065</v>
      </c>
      <c r="C326" s="4">
        <v>-14970.188111890689</v>
      </c>
    </row>
    <row r="327" spans="1:3">
      <c r="A327" s="4">
        <v>300</v>
      </c>
      <c r="B327" s="4">
        <v>473961.750065436</v>
      </c>
      <c r="C327" s="4">
        <v>-72379.170065435988</v>
      </c>
    </row>
    <row r="328" spans="1:3">
      <c r="A328" s="4">
        <v>301</v>
      </c>
      <c r="B328" s="4">
        <v>719150.64029943664</v>
      </c>
      <c r="C328" s="4">
        <v>-15337.650299436646</v>
      </c>
    </row>
    <row r="329" spans="1:3">
      <c r="A329" s="4">
        <v>302</v>
      </c>
      <c r="B329" s="4">
        <v>742620.9579261007</v>
      </c>
      <c r="C329" s="4">
        <v>-18274.227926100721</v>
      </c>
    </row>
    <row r="330" spans="1:3">
      <c r="A330" s="4">
        <v>303</v>
      </c>
      <c r="B330" s="4">
        <v>733704.40401821979</v>
      </c>
      <c r="C330" s="4">
        <v>-2814.3940182197839</v>
      </c>
    </row>
    <row r="331" spans="1:3">
      <c r="A331" s="4">
        <v>304</v>
      </c>
      <c r="B331" s="4">
        <v>702004.27839116089</v>
      </c>
      <c r="C331" s="4">
        <v>78576.671608839068</v>
      </c>
    </row>
    <row r="332" spans="1:3">
      <c r="A332" s="4">
        <v>305</v>
      </c>
      <c r="B332" s="4">
        <v>672563.27410002134</v>
      </c>
      <c r="C332" s="4">
        <v>55394.205899978639</v>
      </c>
    </row>
    <row r="333" spans="1:3">
      <c r="A333" s="4">
        <v>306</v>
      </c>
      <c r="B333" s="4">
        <v>650295.04839782836</v>
      </c>
      <c r="C333" s="4">
        <v>-111919.04839782836</v>
      </c>
    </row>
    <row r="334" spans="1:3">
      <c r="A334" s="4">
        <v>307</v>
      </c>
      <c r="B334" s="4">
        <v>631342.27966152376</v>
      </c>
      <c r="C334" s="4">
        <v>34000.21033847623</v>
      </c>
    </row>
    <row r="335" spans="1:3">
      <c r="A335" s="4">
        <v>308</v>
      </c>
      <c r="B335" s="4">
        <v>684132.41951882176</v>
      </c>
      <c r="C335" s="4">
        <v>-32968.239518821705</v>
      </c>
    </row>
    <row r="336" spans="1:3">
      <c r="A336" s="4">
        <v>309</v>
      </c>
      <c r="B336" s="4">
        <v>641863.5994153854</v>
      </c>
      <c r="C336" s="4">
        <v>-13325.299415385351</v>
      </c>
    </row>
    <row r="337" spans="1:3">
      <c r="A337" s="4">
        <v>310</v>
      </c>
      <c r="B337" s="4">
        <v>596898.84328688146</v>
      </c>
      <c r="C337" s="4">
        <v>-60374.003286881489</v>
      </c>
    </row>
    <row r="338" spans="1:3">
      <c r="A338" s="4">
        <v>311</v>
      </c>
      <c r="B338" s="4">
        <v>633473.48430645315</v>
      </c>
      <c r="C338" s="4">
        <v>-11796.184306453099</v>
      </c>
    </row>
    <row r="339" spans="1:3">
      <c r="A339" s="4">
        <v>312</v>
      </c>
      <c r="B339" s="4">
        <v>742930.9036288826</v>
      </c>
      <c r="C339" s="4">
        <v>28198.166371117346</v>
      </c>
    </row>
    <row r="340" spans="1:3">
      <c r="A340" s="4">
        <v>313</v>
      </c>
      <c r="B340" s="4">
        <v>703064.55662899965</v>
      </c>
      <c r="C340" s="4">
        <v>-1012.0866289996775</v>
      </c>
    </row>
    <row r="341" spans="1:3">
      <c r="A341" s="4">
        <v>314</v>
      </c>
      <c r="B341" s="4">
        <v>712955.39769835561</v>
      </c>
      <c r="C341" s="4">
        <v>-24586.937698355643</v>
      </c>
    </row>
    <row r="342" spans="1:3">
      <c r="A342" s="4">
        <v>315</v>
      </c>
      <c r="B342" s="4">
        <v>672770.11795317859</v>
      </c>
      <c r="C342" s="4">
        <v>39605.652046821429</v>
      </c>
    </row>
    <row r="343" spans="1:3">
      <c r="A343" s="4">
        <v>316</v>
      </c>
      <c r="B343" s="4">
        <v>808672.49402639235</v>
      </c>
      <c r="C343" s="4">
        <v>36038.175973607693</v>
      </c>
    </row>
    <row r="344" spans="1:3">
      <c r="A344" s="4">
        <v>317</v>
      </c>
      <c r="B344" s="4">
        <v>667793.96225007321</v>
      </c>
      <c r="C344" s="4">
        <v>-47529.762250073254</v>
      </c>
    </row>
    <row r="345" spans="1:3">
      <c r="A345" s="4">
        <v>318</v>
      </c>
      <c r="B345" s="4">
        <v>551251.08089890482</v>
      </c>
      <c r="C345" s="4">
        <v>-14405.660898904782</v>
      </c>
    </row>
    <row r="346" spans="1:3">
      <c r="A346" s="4">
        <v>319</v>
      </c>
      <c r="B346" s="4">
        <v>741695.48227439437</v>
      </c>
      <c r="C346" s="4">
        <v>-14919.262274394394</v>
      </c>
    </row>
    <row r="347" spans="1:3" ht="14.4" thickBot="1">
      <c r="A347" s="5">
        <v>320</v>
      </c>
      <c r="B347" s="5">
        <v>617147.47982416325</v>
      </c>
      <c r="C347" s="5">
        <v>-57486.639824163285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1"/>
  <sheetViews>
    <sheetView topLeftCell="D1" workbookViewId="0">
      <selection activeCell="I7" sqref="I7"/>
    </sheetView>
  </sheetViews>
  <sheetFormatPr defaultRowHeight="13.8"/>
  <cols>
    <col min="1" max="3" width="16" customWidth="1"/>
    <col min="4" max="4" width="20" bestFit="1" customWidth="1"/>
    <col min="5" max="5" width="20.296875" bestFit="1" customWidth="1"/>
    <col min="6" max="6" width="20.296875" customWidth="1"/>
    <col min="7" max="15" width="16" customWidth="1"/>
  </cols>
  <sheetData>
    <row r="1" spans="1:15" ht="22.35" customHeight="1">
      <c r="A1" s="1" t="s">
        <v>0</v>
      </c>
      <c r="B1" s="1" t="s">
        <v>1</v>
      </c>
      <c r="C1" s="1" t="s">
        <v>2</v>
      </c>
      <c r="D1" s="1" t="s">
        <v>118</v>
      </c>
      <c r="E1" s="1" t="s">
        <v>119</v>
      </c>
      <c r="F1" s="1" t="s">
        <v>120</v>
      </c>
      <c r="G1" s="1" t="s">
        <v>3</v>
      </c>
      <c r="H1" s="1" t="s">
        <v>121</v>
      </c>
      <c r="I1" s="1" t="s">
        <v>122</v>
      </c>
      <c r="J1" s="1" t="s">
        <v>123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t="s">
        <v>14</v>
      </c>
      <c r="B2" s="2">
        <v>45658</v>
      </c>
      <c r="C2" t="s">
        <v>15</v>
      </c>
      <c r="D2" cm="1">
        <f t="array" ref="D2:D321">IF(C2:C321="North",1,0)</f>
        <v>0</v>
      </c>
      <c r="E2" cm="1">
        <f t="array" ref="E2:E321">IF(C2:C321="South",1,0)</f>
        <v>0</v>
      </c>
      <c r="F2" cm="1">
        <f t="array" ref="F2:F321">IF(C2:C321="West",1,0)</f>
        <v>0</v>
      </c>
      <c r="G2" t="s">
        <v>16</v>
      </c>
      <c r="H2" cm="1">
        <f t="array" ref="H2:H321">IF(G2:G321="High Street",1,0)</f>
        <v>0</v>
      </c>
      <c r="I2" cm="1">
        <f t="array" ref="I2:I321">IF(G2:G321="Airport",1,0)</f>
        <v>0</v>
      </c>
      <c r="J2" cm="1">
        <f t="array" ref="J2:J321">IF(G2:G321="Mall",1,0)</f>
        <v>0</v>
      </c>
      <c r="K2">
        <v>5.28</v>
      </c>
      <c r="L2">
        <v>1</v>
      </c>
      <c r="M2">
        <v>3.1</v>
      </c>
      <c r="N2">
        <v>658832.62</v>
      </c>
      <c r="O2">
        <v>84349.93</v>
      </c>
    </row>
    <row r="3" spans="1:15">
      <c r="A3" t="s">
        <v>14</v>
      </c>
      <c r="B3" s="2">
        <v>45689</v>
      </c>
      <c r="C3" t="s">
        <v>15</v>
      </c>
      <c r="D3">
        <v>0</v>
      </c>
      <c r="E3">
        <v>0</v>
      </c>
      <c r="F3">
        <v>0</v>
      </c>
      <c r="G3" t="s">
        <v>16</v>
      </c>
      <c r="H3">
        <v>0</v>
      </c>
      <c r="I3">
        <v>0</v>
      </c>
      <c r="J3">
        <v>0</v>
      </c>
      <c r="K3">
        <v>4.3099999999999996</v>
      </c>
      <c r="L3">
        <v>0</v>
      </c>
      <c r="M3">
        <v>2.8</v>
      </c>
      <c r="N3">
        <v>634436</v>
      </c>
      <c r="O3">
        <v>106130.54</v>
      </c>
    </row>
    <row r="4" spans="1:15">
      <c r="A4" t="s">
        <v>14</v>
      </c>
      <c r="B4" s="2">
        <v>45717</v>
      </c>
      <c r="C4" t="s">
        <v>15</v>
      </c>
      <c r="D4">
        <v>0</v>
      </c>
      <c r="E4">
        <v>0</v>
      </c>
      <c r="F4">
        <v>0</v>
      </c>
      <c r="G4" t="s">
        <v>16</v>
      </c>
      <c r="H4">
        <v>0</v>
      </c>
      <c r="I4">
        <v>0</v>
      </c>
      <c r="J4">
        <v>0</v>
      </c>
      <c r="K4">
        <v>12</v>
      </c>
      <c r="L4">
        <v>0</v>
      </c>
      <c r="M4">
        <v>3.2</v>
      </c>
      <c r="N4">
        <v>678722.06</v>
      </c>
      <c r="O4">
        <v>101883.86</v>
      </c>
    </row>
    <row r="5" spans="1:15">
      <c r="A5" t="s">
        <v>14</v>
      </c>
      <c r="B5" s="2">
        <v>45748</v>
      </c>
      <c r="C5" t="s">
        <v>15</v>
      </c>
      <c r="D5">
        <v>0</v>
      </c>
      <c r="E5">
        <v>0</v>
      </c>
      <c r="F5">
        <v>0</v>
      </c>
      <c r="G5" t="s">
        <v>16</v>
      </c>
      <c r="H5">
        <v>0</v>
      </c>
      <c r="I5">
        <v>0</v>
      </c>
      <c r="J5">
        <v>0</v>
      </c>
      <c r="K5">
        <v>4.97</v>
      </c>
      <c r="L5">
        <v>0</v>
      </c>
      <c r="M5">
        <v>3.4</v>
      </c>
      <c r="N5">
        <v>658920.30000000005</v>
      </c>
      <c r="O5">
        <v>97910.37</v>
      </c>
    </row>
    <row r="6" spans="1:15">
      <c r="A6" t="s">
        <v>17</v>
      </c>
      <c r="B6" s="2">
        <v>45658</v>
      </c>
      <c r="C6" t="s">
        <v>15</v>
      </c>
      <c r="D6">
        <v>0</v>
      </c>
      <c r="E6">
        <v>0</v>
      </c>
      <c r="F6">
        <v>0</v>
      </c>
      <c r="G6" t="s">
        <v>18</v>
      </c>
      <c r="H6">
        <v>1</v>
      </c>
      <c r="I6">
        <v>0</v>
      </c>
      <c r="J6">
        <v>0</v>
      </c>
      <c r="K6">
        <v>6.94</v>
      </c>
      <c r="L6">
        <v>1</v>
      </c>
      <c r="M6">
        <v>4.2</v>
      </c>
      <c r="N6">
        <v>741341.44</v>
      </c>
      <c r="O6">
        <v>119208.17</v>
      </c>
    </row>
    <row r="7" spans="1:15">
      <c r="A7" t="s">
        <v>17</v>
      </c>
      <c r="B7" s="2">
        <v>45689</v>
      </c>
      <c r="C7" t="s">
        <v>15</v>
      </c>
      <c r="D7">
        <v>0</v>
      </c>
      <c r="E7">
        <v>0</v>
      </c>
      <c r="F7">
        <v>0</v>
      </c>
      <c r="G7" t="s">
        <v>18</v>
      </c>
      <c r="H7">
        <v>1</v>
      </c>
      <c r="I7">
        <v>0</v>
      </c>
      <c r="J7">
        <v>0</v>
      </c>
      <c r="K7">
        <v>2.88</v>
      </c>
      <c r="L7">
        <v>0</v>
      </c>
      <c r="M7">
        <v>4.2</v>
      </c>
      <c r="N7">
        <v>761835.34</v>
      </c>
      <c r="O7">
        <v>149602.23000000001</v>
      </c>
    </row>
    <row r="8" spans="1:15">
      <c r="A8" t="s">
        <v>17</v>
      </c>
      <c r="B8" s="2">
        <v>45717</v>
      </c>
      <c r="C8" t="s">
        <v>15</v>
      </c>
      <c r="D8">
        <v>0</v>
      </c>
      <c r="E8">
        <v>0</v>
      </c>
      <c r="F8">
        <v>0</v>
      </c>
      <c r="G8" t="s">
        <v>18</v>
      </c>
      <c r="H8">
        <v>1</v>
      </c>
      <c r="I8">
        <v>0</v>
      </c>
      <c r="J8">
        <v>0</v>
      </c>
      <c r="K8">
        <v>0.2</v>
      </c>
      <c r="L8">
        <v>1</v>
      </c>
      <c r="M8">
        <v>4.0999999999999996</v>
      </c>
      <c r="N8">
        <v>806615.54</v>
      </c>
      <c r="O8">
        <v>131364.62</v>
      </c>
    </row>
    <row r="9" spans="1:15">
      <c r="A9" t="s">
        <v>17</v>
      </c>
      <c r="B9" s="2">
        <v>45748</v>
      </c>
      <c r="C9" t="s">
        <v>15</v>
      </c>
      <c r="D9">
        <v>0</v>
      </c>
      <c r="E9">
        <v>0</v>
      </c>
      <c r="F9">
        <v>0</v>
      </c>
      <c r="G9" t="s">
        <v>18</v>
      </c>
      <c r="H9">
        <v>1</v>
      </c>
      <c r="I9">
        <v>0</v>
      </c>
      <c r="J9">
        <v>0</v>
      </c>
      <c r="K9">
        <v>0.8</v>
      </c>
      <c r="L9">
        <v>0</v>
      </c>
      <c r="M9">
        <v>3.9</v>
      </c>
      <c r="N9">
        <v>850164.26</v>
      </c>
      <c r="O9">
        <v>149262.75</v>
      </c>
    </row>
    <row r="10" spans="1:15">
      <c r="A10" t="s">
        <v>19</v>
      </c>
      <c r="B10" s="2">
        <v>45658</v>
      </c>
      <c r="C10" t="s">
        <v>20</v>
      </c>
      <c r="D10">
        <v>1</v>
      </c>
      <c r="E10">
        <v>0</v>
      </c>
      <c r="F10">
        <v>0</v>
      </c>
      <c r="G10" t="s">
        <v>21</v>
      </c>
      <c r="H10">
        <v>0</v>
      </c>
      <c r="I10">
        <v>1</v>
      </c>
      <c r="J10">
        <v>0</v>
      </c>
      <c r="K10">
        <v>7.7</v>
      </c>
      <c r="L10">
        <v>1</v>
      </c>
      <c r="M10">
        <v>3.8</v>
      </c>
      <c r="N10">
        <v>930581.7</v>
      </c>
      <c r="O10">
        <v>136207.98000000001</v>
      </c>
    </row>
    <row r="11" spans="1:15">
      <c r="A11" t="s">
        <v>19</v>
      </c>
      <c r="B11" s="2">
        <v>45689</v>
      </c>
      <c r="C11" t="s">
        <v>20</v>
      </c>
      <c r="D11">
        <v>1</v>
      </c>
      <c r="E11">
        <v>0</v>
      </c>
      <c r="F11">
        <v>0</v>
      </c>
      <c r="G11" t="s">
        <v>21</v>
      </c>
      <c r="H11">
        <v>0</v>
      </c>
      <c r="I11">
        <v>1</v>
      </c>
      <c r="J11">
        <v>0</v>
      </c>
      <c r="K11">
        <v>1.91</v>
      </c>
      <c r="L11">
        <v>0</v>
      </c>
      <c r="M11">
        <v>4.2</v>
      </c>
      <c r="N11">
        <v>779010.94</v>
      </c>
      <c r="O11">
        <v>106328.09</v>
      </c>
    </row>
    <row r="12" spans="1:15">
      <c r="A12" t="s">
        <v>19</v>
      </c>
      <c r="B12" s="2">
        <v>45717</v>
      </c>
      <c r="C12" t="s">
        <v>20</v>
      </c>
      <c r="D12">
        <v>1</v>
      </c>
      <c r="E12">
        <v>0</v>
      </c>
      <c r="F12">
        <v>0</v>
      </c>
      <c r="G12" t="s">
        <v>21</v>
      </c>
      <c r="H12">
        <v>0</v>
      </c>
      <c r="I12">
        <v>1</v>
      </c>
      <c r="J12">
        <v>0</v>
      </c>
      <c r="K12">
        <v>10.46</v>
      </c>
      <c r="L12">
        <v>1</v>
      </c>
      <c r="M12">
        <v>3.8</v>
      </c>
      <c r="N12">
        <v>723060.76</v>
      </c>
      <c r="O12">
        <v>123131.24</v>
      </c>
    </row>
    <row r="13" spans="1:15">
      <c r="A13" t="s">
        <v>19</v>
      </c>
      <c r="B13" s="2">
        <v>45748</v>
      </c>
      <c r="C13" t="s">
        <v>20</v>
      </c>
      <c r="D13">
        <v>1</v>
      </c>
      <c r="E13">
        <v>0</v>
      </c>
      <c r="F13">
        <v>0</v>
      </c>
      <c r="G13" t="s">
        <v>21</v>
      </c>
      <c r="H13">
        <v>0</v>
      </c>
      <c r="I13">
        <v>1</v>
      </c>
      <c r="J13">
        <v>0</v>
      </c>
      <c r="K13">
        <v>7.16</v>
      </c>
      <c r="L13">
        <v>0</v>
      </c>
      <c r="M13">
        <v>3.8</v>
      </c>
      <c r="N13">
        <v>910791.94</v>
      </c>
      <c r="O13">
        <v>158891.28</v>
      </c>
    </row>
    <row r="14" spans="1:15">
      <c r="A14" t="s">
        <v>22</v>
      </c>
      <c r="B14" s="2">
        <v>45658</v>
      </c>
      <c r="C14" t="s">
        <v>15</v>
      </c>
      <c r="D14">
        <v>0</v>
      </c>
      <c r="E14">
        <v>0</v>
      </c>
      <c r="F14">
        <v>0</v>
      </c>
      <c r="G14" t="s">
        <v>16</v>
      </c>
      <c r="H14">
        <v>0</v>
      </c>
      <c r="I14">
        <v>0</v>
      </c>
      <c r="J14">
        <v>0</v>
      </c>
      <c r="K14">
        <v>4.24</v>
      </c>
      <c r="L14">
        <v>1</v>
      </c>
      <c r="M14">
        <v>4.2</v>
      </c>
      <c r="N14">
        <v>922168.6</v>
      </c>
      <c r="O14">
        <v>107494.53</v>
      </c>
    </row>
    <row r="15" spans="1:15">
      <c r="A15" t="s">
        <v>22</v>
      </c>
      <c r="B15" s="2">
        <v>45689</v>
      </c>
      <c r="C15" t="s">
        <v>15</v>
      </c>
      <c r="D15">
        <v>0</v>
      </c>
      <c r="E15">
        <v>0</v>
      </c>
      <c r="F15">
        <v>0</v>
      </c>
      <c r="G15" t="s">
        <v>16</v>
      </c>
      <c r="H15">
        <v>0</v>
      </c>
      <c r="I15">
        <v>0</v>
      </c>
      <c r="J15">
        <v>0</v>
      </c>
      <c r="K15">
        <v>1.06</v>
      </c>
      <c r="L15">
        <v>0</v>
      </c>
      <c r="M15">
        <v>4.3</v>
      </c>
      <c r="N15">
        <v>726606.28</v>
      </c>
      <c r="O15">
        <v>122729.29</v>
      </c>
    </row>
    <row r="16" spans="1:15">
      <c r="A16" t="s">
        <v>22</v>
      </c>
      <c r="B16" s="2">
        <v>45717</v>
      </c>
      <c r="C16" t="s">
        <v>15</v>
      </c>
      <c r="D16">
        <v>0</v>
      </c>
      <c r="E16">
        <v>0</v>
      </c>
      <c r="F16">
        <v>0</v>
      </c>
      <c r="G16" t="s">
        <v>16</v>
      </c>
      <c r="H16">
        <v>0</v>
      </c>
      <c r="I16">
        <v>0</v>
      </c>
      <c r="J16">
        <v>0</v>
      </c>
      <c r="K16">
        <v>0.27</v>
      </c>
      <c r="L16">
        <v>0</v>
      </c>
      <c r="M16">
        <v>4.3</v>
      </c>
      <c r="N16">
        <v>746501.09</v>
      </c>
      <c r="O16">
        <v>136816.72</v>
      </c>
    </row>
    <row r="17" spans="1:15">
      <c r="A17" t="s">
        <v>22</v>
      </c>
      <c r="B17" s="2">
        <v>45748</v>
      </c>
      <c r="C17" t="s">
        <v>15</v>
      </c>
      <c r="D17">
        <v>0</v>
      </c>
      <c r="E17">
        <v>0</v>
      </c>
      <c r="F17">
        <v>0</v>
      </c>
      <c r="G17" t="s">
        <v>16</v>
      </c>
      <c r="H17">
        <v>0</v>
      </c>
      <c r="I17">
        <v>0</v>
      </c>
      <c r="J17">
        <v>0</v>
      </c>
      <c r="K17">
        <v>1.32</v>
      </c>
      <c r="L17">
        <v>0</v>
      </c>
      <c r="M17">
        <v>4.5</v>
      </c>
      <c r="N17">
        <v>834017.02</v>
      </c>
      <c r="O17">
        <v>114745.03</v>
      </c>
    </row>
    <row r="18" spans="1:15">
      <c r="A18" t="s">
        <v>23</v>
      </c>
      <c r="B18" s="2">
        <v>45658</v>
      </c>
      <c r="C18" t="s">
        <v>24</v>
      </c>
      <c r="D18">
        <v>0</v>
      </c>
      <c r="E18">
        <v>1</v>
      </c>
      <c r="F18">
        <v>0</v>
      </c>
      <c r="G18" t="s">
        <v>16</v>
      </c>
      <c r="H18">
        <v>0</v>
      </c>
      <c r="I18">
        <v>0</v>
      </c>
      <c r="J18">
        <v>0</v>
      </c>
      <c r="K18">
        <v>1.22</v>
      </c>
      <c r="L18">
        <v>0</v>
      </c>
      <c r="M18">
        <v>3.7</v>
      </c>
      <c r="N18">
        <v>666152.52</v>
      </c>
      <c r="O18">
        <v>107490.58</v>
      </c>
    </row>
    <row r="19" spans="1:15">
      <c r="A19" t="s">
        <v>23</v>
      </c>
      <c r="B19" s="2">
        <v>45689</v>
      </c>
      <c r="C19" t="s">
        <v>24</v>
      </c>
      <c r="D19">
        <v>0</v>
      </c>
      <c r="E19">
        <v>1</v>
      </c>
      <c r="F19">
        <v>0</v>
      </c>
      <c r="G19" t="s">
        <v>16</v>
      </c>
      <c r="H19">
        <v>0</v>
      </c>
      <c r="I19">
        <v>0</v>
      </c>
      <c r="J19">
        <v>0</v>
      </c>
      <c r="K19">
        <v>4.01</v>
      </c>
      <c r="L19">
        <v>0</v>
      </c>
      <c r="M19">
        <v>3.6</v>
      </c>
      <c r="N19">
        <v>573155.18999999994</v>
      </c>
      <c r="O19">
        <v>83680.75</v>
      </c>
    </row>
    <row r="20" spans="1:15">
      <c r="A20" t="s">
        <v>23</v>
      </c>
      <c r="B20" s="2">
        <v>45717</v>
      </c>
      <c r="C20" t="s">
        <v>24</v>
      </c>
      <c r="D20">
        <v>0</v>
      </c>
      <c r="E20">
        <v>1</v>
      </c>
      <c r="F20">
        <v>0</v>
      </c>
      <c r="G20" t="s">
        <v>16</v>
      </c>
      <c r="H20">
        <v>0</v>
      </c>
      <c r="I20">
        <v>0</v>
      </c>
      <c r="J20">
        <v>0</v>
      </c>
      <c r="K20">
        <v>0.2</v>
      </c>
      <c r="L20">
        <v>0</v>
      </c>
      <c r="M20">
        <v>3.9</v>
      </c>
      <c r="N20">
        <v>666573.19999999995</v>
      </c>
      <c r="O20">
        <v>140641.01999999999</v>
      </c>
    </row>
    <row r="21" spans="1:15">
      <c r="A21" t="s">
        <v>23</v>
      </c>
      <c r="B21" s="2">
        <v>45748</v>
      </c>
      <c r="C21" t="s">
        <v>24</v>
      </c>
      <c r="D21">
        <v>0</v>
      </c>
      <c r="E21">
        <v>1</v>
      </c>
      <c r="F21">
        <v>0</v>
      </c>
      <c r="G21" t="s">
        <v>16</v>
      </c>
      <c r="H21">
        <v>0</v>
      </c>
      <c r="I21">
        <v>0</v>
      </c>
      <c r="J21">
        <v>0</v>
      </c>
      <c r="K21">
        <v>0.5</v>
      </c>
      <c r="L21">
        <v>0</v>
      </c>
      <c r="M21">
        <v>4</v>
      </c>
      <c r="N21">
        <v>591619.94999999995</v>
      </c>
      <c r="O21">
        <v>99521.35</v>
      </c>
    </row>
    <row r="22" spans="1:15">
      <c r="A22" t="s">
        <v>25</v>
      </c>
      <c r="B22" s="2">
        <v>45658</v>
      </c>
      <c r="C22" t="s">
        <v>20</v>
      </c>
      <c r="D22">
        <v>1</v>
      </c>
      <c r="E22">
        <v>0</v>
      </c>
      <c r="F22">
        <v>0</v>
      </c>
      <c r="G22" t="s">
        <v>16</v>
      </c>
      <c r="H22">
        <v>0</v>
      </c>
      <c r="I22">
        <v>0</v>
      </c>
      <c r="J22">
        <v>0</v>
      </c>
      <c r="K22">
        <v>6.95</v>
      </c>
      <c r="L22">
        <v>0</v>
      </c>
      <c r="M22">
        <v>5</v>
      </c>
      <c r="N22">
        <v>415721.82</v>
      </c>
      <c r="O22">
        <v>61179.15</v>
      </c>
    </row>
    <row r="23" spans="1:15">
      <c r="A23" t="s">
        <v>25</v>
      </c>
      <c r="B23" s="2">
        <v>45689</v>
      </c>
      <c r="C23" t="s">
        <v>20</v>
      </c>
      <c r="D23">
        <v>1</v>
      </c>
      <c r="E23">
        <v>0</v>
      </c>
      <c r="F23">
        <v>0</v>
      </c>
      <c r="G23" t="s">
        <v>16</v>
      </c>
      <c r="H23">
        <v>0</v>
      </c>
      <c r="I23">
        <v>0</v>
      </c>
      <c r="J23">
        <v>0</v>
      </c>
      <c r="K23">
        <v>0.2</v>
      </c>
      <c r="L23">
        <v>0</v>
      </c>
      <c r="M23">
        <v>5</v>
      </c>
      <c r="N23">
        <v>491905.13</v>
      </c>
      <c r="O23">
        <v>79212.259999999995</v>
      </c>
    </row>
    <row r="24" spans="1:15">
      <c r="A24" t="s">
        <v>25</v>
      </c>
      <c r="B24" s="2">
        <v>45717</v>
      </c>
      <c r="C24" t="s">
        <v>20</v>
      </c>
      <c r="D24">
        <v>1</v>
      </c>
      <c r="E24">
        <v>0</v>
      </c>
      <c r="F24">
        <v>0</v>
      </c>
      <c r="G24" t="s">
        <v>16</v>
      </c>
      <c r="H24">
        <v>0</v>
      </c>
      <c r="I24">
        <v>0</v>
      </c>
      <c r="J24">
        <v>0</v>
      </c>
      <c r="K24">
        <v>1.61</v>
      </c>
      <c r="L24">
        <v>1</v>
      </c>
      <c r="M24">
        <v>4.5999999999999996</v>
      </c>
      <c r="N24">
        <v>555929.4</v>
      </c>
      <c r="O24">
        <v>115201.76</v>
      </c>
    </row>
    <row r="25" spans="1:15">
      <c r="A25" t="s">
        <v>25</v>
      </c>
      <c r="B25" s="2">
        <v>45748</v>
      </c>
      <c r="C25" t="s">
        <v>20</v>
      </c>
      <c r="D25">
        <v>1</v>
      </c>
      <c r="E25">
        <v>0</v>
      </c>
      <c r="F25">
        <v>0</v>
      </c>
      <c r="G25" t="s">
        <v>16</v>
      </c>
      <c r="H25">
        <v>0</v>
      </c>
      <c r="I25">
        <v>0</v>
      </c>
      <c r="J25">
        <v>0</v>
      </c>
      <c r="K25">
        <v>1.55</v>
      </c>
      <c r="L25">
        <v>0</v>
      </c>
      <c r="M25">
        <v>4.7</v>
      </c>
      <c r="N25">
        <v>565810.99</v>
      </c>
      <c r="O25">
        <v>77825.460000000006</v>
      </c>
    </row>
    <row r="26" spans="1:15">
      <c r="A26" t="s">
        <v>26</v>
      </c>
      <c r="B26" s="2">
        <v>45658</v>
      </c>
      <c r="C26" t="s">
        <v>27</v>
      </c>
      <c r="D26">
        <v>0</v>
      </c>
      <c r="E26">
        <v>0</v>
      </c>
      <c r="F26">
        <v>1</v>
      </c>
      <c r="G26" t="s">
        <v>28</v>
      </c>
      <c r="H26">
        <v>0</v>
      </c>
      <c r="I26">
        <v>0</v>
      </c>
      <c r="J26">
        <v>1</v>
      </c>
      <c r="K26">
        <v>2.99</v>
      </c>
      <c r="L26">
        <v>0</v>
      </c>
      <c r="M26">
        <v>3.5</v>
      </c>
      <c r="N26">
        <v>811771.14</v>
      </c>
      <c r="O26">
        <v>148756.24</v>
      </c>
    </row>
    <row r="27" spans="1:15">
      <c r="A27" t="s">
        <v>26</v>
      </c>
      <c r="B27" s="2">
        <v>45689</v>
      </c>
      <c r="C27" t="s">
        <v>27</v>
      </c>
      <c r="D27">
        <v>0</v>
      </c>
      <c r="E27">
        <v>0</v>
      </c>
      <c r="F27">
        <v>1</v>
      </c>
      <c r="G27" t="s">
        <v>28</v>
      </c>
      <c r="H27">
        <v>0</v>
      </c>
      <c r="I27">
        <v>0</v>
      </c>
      <c r="J27">
        <v>1</v>
      </c>
      <c r="K27">
        <v>7.04</v>
      </c>
      <c r="L27">
        <v>0</v>
      </c>
      <c r="M27">
        <v>3.9</v>
      </c>
      <c r="N27">
        <v>800451.94</v>
      </c>
      <c r="O27">
        <v>111572.29</v>
      </c>
    </row>
    <row r="28" spans="1:15">
      <c r="A28" t="s">
        <v>26</v>
      </c>
      <c r="B28" s="2">
        <v>45717</v>
      </c>
      <c r="C28" t="s">
        <v>27</v>
      </c>
      <c r="D28">
        <v>0</v>
      </c>
      <c r="E28">
        <v>0</v>
      </c>
      <c r="F28">
        <v>1</v>
      </c>
      <c r="G28" t="s">
        <v>28</v>
      </c>
      <c r="H28">
        <v>0</v>
      </c>
      <c r="I28">
        <v>0</v>
      </c>
      <c r="J28">
        <v>1</v>
      </c>
      <c r="K28">
        <v>4.9400000000000004</v>
      </c>
      <c r="L28">
        <v>0</v>
      </c>
      <c r="M28">
        <v>4</v>
      </c>
      <c r="N28">
        <v>783672.82</v>
      </c>
      <c r="O28">
        <v>112577.14</v>
      </c>
    </row>
    <row r="29" spans="1:15">
      <c r="A29" t="s">
        <v>26</v>
      </c>
      <c r="B29" s="2">
        <v>45748</v>
      </c>
      <c r="C29" t="s">
        <v>27</v>
      </c>
      <c r="D29">
        <v>0</v>
      </c>
      <c r="E29">
        <v>0</v>
      </c>
      <c r="F29">
        <v>1</v>
      </c>
      <c r="G29" t="s">
        <v>28</v>
      </c>
      <c r="H29">
        <v>0</v>
      </c>
      <c r="I29">
        <v>0</v>
      </c>
      <c r="J29">
        <v>1</v>
      </c>
      <c r="K29">
        <v>16.149999999999999</v>
      </c>
      <c r="L29">
        <v>0</v>
      </c>
      <c r="M29">
        <v>3.7</v>
      </c>
      <c r="N29">
        <v>701641.97</v>
      </c>
      <c r="O29">
        <v>106111.86</v>
      </c>
    </row>
    <row r="30" spans="1:15">
      <c r="A30" t="s">
        <v>29</v>
      </c>
      <c r="B30" s="2">
        <v>45658</v>
      </c>
      <c r="C30" t="s">
        <v>15</v>
      </c>
      <c r="D30">
        <v>0</v>
      </c>
      <c r="E30">
        <v>0</v>
      </c>
      <c r="F30">
        <v>0</v>
      </c>
      <c r="G30" t="s">
        <v>16</v>
      </c>
      <c r="H30">
        <v>0</v>
      </c>
      <c r="I30">
        <v>0</v>
      </c>
      <c r="J30">
        <v>0</v>
      </c>
      <c r="K30">
        <v>0.48</v>
      </c>
      <c r="L30">
        <v>0</v>
      </c>
      <c r="M30">
        <v>3.6</v>
      </c>
      <c r="N30">
        <v>511844.41</v>
      </c>
      <c r="O30">
        <v>72774.44</v>
      </c>
    </row>
    <row r="31" spans="1:15">
      <c r="A31" t="s">
        <v>29</v>
      </c>
      <c r="B31" s="2">
        <v>45689</v>
      </c>
      <c r="C31" t="s">
        <v>15</v>
      </c>
      <c r="D31">
        <v>0</v>
      </c>
      <c r="E31">
        <v>0</v>
      </c>
      <c r="F31">
        <v>0</v>
      </c>
      <c r="G31" t="s">
        <v>16</v>
      </c>
      <c r="H31">
        <v>0</v>
      </c>
      <c r="I31">
        <v>0</v>
      </c>
      <c r="J31">
        <v>0</v>
      </c>
      <c r="K31">
        <v>0.31</v>
      </c>
      <c r="L31">
        <v>0</v>
      </c>
      <c r="M31">
        <v>3.1</v>
      </c>
      <c r="N31">
        <v>537383.79</v>
      </c>
      <c r="O31">
        <v>63773.27</v>
      </c>
    </row>
    <row r="32" spans="1:15">
      <c r="A32" t="s">
        <v>29</v>
      </c>
      <c r="B32" s="2">
        <v>45717</v>
      </c>
      <c r="C32" t="s">
        <v>15</v>
      </c>
      <c r="D32">
        <v>0</v>
      </c>
      <c r="E32">
        <v>0</v>
      </c>
      <c r="F32">
        <v>0</v>
      </c>
      <c r="G32" t="s">
        <v>16</v>
      </c>
      <c r="H32">
        <v>0</v>
      </c>
      <c r="I32">
        <v>0</v>
      </c>
      <c r="J32">
        <v>0</v>
      </c>
      <c r="K32">
        <v>3.01</v>
      </c>
      <c r="L32">
        <v>1</v>
      </c>
      <c r="M32">
        <v>3.7</v>
      </c>
      <c r="N32">
        <v>500173.02</v>
      </c>
      <c r="O32">
        <v>70982.05</v>
      </c>
    </row>
    <row r="33" spans="1:15">
      <c r="A33" t="s">
        <v>29</v>
      </c>
      <c r="B33" s="2">
        <v>45748</v>
      </c>
      <c r="C33" t="s">
        <v>15</v>
      </c>
      <c r="D33">
        <v>0</v>
      </c>
      <c r="E33">
        <v>0</v>
      </c>
      <c r="F33">
        <v>0</v>
      </c>
      <c r="G33" t="s">
        <v>16</v>
      </c>
      <c r="H33">
        <v>0</v>
      </c>
      <c r="I33">
        <v>0</v>
      </c>
      <c r="J33">
        <v>0</v>
      </c>
      <c r="K33">
        <v>12.15</v>
      </c>
      <c r="L33">
        <v>0</v>
      </c>
      <c r="M33">
        <v>3.6</v>
      </c>
      <c r="N33">
        <v>427917.38</v>
      </c>
      <c r="O33">
        <v>81824.31</v>
      </c>
    </row>
    <row r="34" spans="1:15">
      <c r="A34" t="s">
        <v>30</v>
      </c>
      <c r="B34" s="2">
        <v>45658</v>
      </c>
      <c r="C34" t="s">
        <v>20</v>
      </c>
      <c r="D34">
        <v>1</v>
      </c>
      <c r="E34">
        <v>0</v>
      </c>
      <c r="F34">
        <v>0</v>
      </c>
      <c r="G34" t="s">
        <v>16</v>
      </c>
      <c r="H34">
        <v>0</v>
      </c>
      <c r="I34">
        <v>0</v>
      </c>
      <c r="J34">
        <v>0</v>
      </c>
      <c r="K34">
        <v>11.71</v>
      </c>
      <c r="L34">
        <v>0</v>
      </c>
      <c r="M34">
        <v>4.2</v>
      </c>
      <c r="N34">
        <v>641865.03</v>
      </c>
      <c r="O34">
        <v>81342.58</v>
      </c>
    </row>
    <row r="35" spans="1:15">
      <c r="A35" t="s">
        <v>30</v>
      </c>
      <c r="B35" s="2">
        <v>45689</v>
      </c>
      <c r="C35" t="s">
        <v>20</v>
      </c>
      <c r="D35">
        <v>1</v>
      </c>
      <c r="E35">
        <v>0</v>
      </c>
      <c r="F35">
        <v>0</v>
      </c>
      <c r="G35" t="s">
        <v>16</v>
      </c>
      <c r="H35">
        <v>0</v>
      </c>
      <c r="I35">
        <v>0</v>
      </c>
      <c r="J35">
        <v>0</v>
      </c>
      <c r="K35">
        <v>0.62</v>
      </c>
      <c r="L35">
        <v>0</v>
      </c>
      <c r="N35">
        <v>799477.76000000001</v>
      </c>
      <c r="O35">
        <v>164974.41</v>
      </c>
    </row>
    <row r="36" spans="1:15">
      <c r="A36" t="s">
        <v>30</v>
      </c>
      <c r="B36" s="2">
        <v>45717</v>
      </c>
      <c r="C36" t="s">
        <v>20</v>
      </c>
      <c r="D36">
        <v>1</v>
      </c>
      <c r="E36">
        <v>0</v>
      </c>
      <c r="F36">
        <v>0</v>
      </c>
      <c r="G36" t="s">
        <v>16</v>
      </c>
      <c r="H36">
        <v>0</v>
      </c>
      <c r="I36">
        <v>0</v>
      </c>
      <c r="J36">
        <v>0</v>
      </c>
      <c r="K36">
        <v>2.12</v>
      </c>
      <c r="L36">
        <v>0</v>
      </c>
      <c r="M36">
        <v>3.5</v>
      </c>
      <c r="N36">
        <v>798952.17</v>
      </c>
      <c r="O36">
        <v>161499.04</v>
      </c>
    </row>
    <row r="37" spans="1:15">
      <c r="A37" t="s">
        <v>30</v>
      </c>
      <c r="B37" s="2">
        <v>45748</v>
      </c>
      <c r="C37" t="s">
        <v>20</v>
      </c>
      <c r="D37">
        <v>1</v>
      </c>
      <c r="E37">
        <v>0</v>
      </c>
      <c r="F37">
        <v>0</v>
      </c>
      <c r="G37" t="s">
        <v>16</v>
      </c>
      <c r="H37">
        <v>0</v>
      </c>
      <c r="I37">
        <v>0</v>
      </c>
      <c r="J37">
        <v>0</v>
      </c>
      <c r="K37">
        <v>6.31</v>
      </c>
      <c r="L37">
        <v>0</v>
      </c>
      <c r="M37">
        <v>3.6</v>
      </c>
      <c r="N37">
        <v>800979.78</v>
      </c>
      <c r="O37">
        <v>149242.26999999999</v>
      </c>
    </row>
    <row r="38" spans="1:15">
      <c r="A38" t="s">
        <v>31</v>
      </c>
      <c r="B38" s="2">
        <v>45658</v>
      </c>
      <c r="C38" t="s">
        <v>20</v>
      </c>
      <c r="D38">
        <v>1</v>
      </c>
      <c r="E38">
        <v>0</v>
      </c>
      <c r="F38">
        <v>0</v>
      </c>
      <c r="G38" t="s">
        <v>28</v>
      </c>
      <c r="H38">
        <v>0</v>
      </c>
      <c r="I38">
        <v>0</v>
      </c>
      <c r="J38">
        <v>1</v>
      </c>
      <c r="K38">
        <v>9.56</v>
      </c>
      <c r="L38">
        <v>1</v>
      </c>
      <c r="M38">
        <v>4.2</v>
      </c>
      <c r="N38">
        <v>820593.93</v>
      </c>
      <c r="O38">
        <v>115860.06</v>
      </c>
    </row>
    <row r="39" spans="1:15">
      <c r="A39" t="s">
        <v>31</v>
      </c>
      <c r="B39" s="2">
        <v>45689</v>
      </c>
      <c r="C39" t="s">
        <v>20</v>
      </c>
      <c r="D39">
        <v>1</v>
      </c>
      <c r="E39">
        <v>0</v>
      </c>
      <c r="F39">
        <v>0</v>
      </c>
      <c r="G39" t="s">
        <v>28</v>
      </c>
      <c r="H39">
        <v>0</v>
      </c>
      <c r="I39">
        <v>0</v>
      </c>
      <c r="J39">
        <v>1</v>
      </c>
      <c r="K39">
        <v>9.0500000000000007</v>
      </c>
      <c r="L39">
        <v>0</v>
      </c>
      <c r="M39">
        <v>3.8</v>
      </c>
      <c r="N39">
        <v>718330.53</v>
      </c>
      <c r="O39">
        <v>93247.9</v>
      </c>
    </row>
    <row r="40" spans="1:15">
      <c r="A40" t="s">
        <v>31</v>
      </c>
      <c r="B40" s="2">
        <v>45717</v>
      </c>
      <c r="C40" t="s">
        <v>20</v>
      </c>
      <c r="D40">
        <v>1</v>
      </c>
      <c r="E40">
        <v>0</v>
      </c>
      <c r="F40">
        <v>0</v>
      </c>
      <c r="G40" t="s">
        <v>28</v>
      </c>
      <c r="H40">
        <v>0</v>
      </c>
      <c r="I40">
        <v>0</v>
      </c>
      <c r="J40">
        <v>1</v>
      </c>
      <c r="K40">
        <v>5.05</v>
      </c>
      <c r="L40">
        <v>0</v>
      </c>
      <c r="M40">
        <v>4</v>
      </c>
      <c r="N40">
        <v>736633.4</v>
      </c>
      <c r="O40">
        <v>115654.66</v>
      </c>
    </row>
    <row r="41" spans="1:15">
      <c r="A41" t="s">
        <v>31</v>
      </c>
      <c r="B41" s="2">
        <v>45748</v>
      </c>
      <c r="C41" t="s">
        <v>20</v>
      </c>
      <c r="D41">
        <v>1</v>
      </c>
      <c r="E41">
        <v>0</v>
      </c>
      <c r="F41">
        <v>0</v>
      </c>
      <c r="G41" t="s">
        <v>28</v>
      </c>
      <c r="H41">
        <v>0</v>
      </c>
      <c r="I41">
        <v>0</v>
      </c>
      <c r="J41">
        <v>1</v>
      </c>
      <c r="K41">
        <v>0.89</v>
      </c>
      <c r="L41">
        <v>0</v>
      </c>
      <c r="M41">
        <v>3.8</v>
      </c>
      <c r="N41">
        <v>828623.85</v>
      </c>
      <c r="O41">
        <v>167320.51999999999</v>
      </c>
    </row>
    <row r="42" spans="1:15">
      <c r="A42" t="s">
        <v>32</v>
      </c>
      <c r="B42" s="2">
        <v>45658</v>
      </c>
      <c r="C42" t="s">
        <v>15</v>
      </c>
      <c r="D42">
        <v>0</v>
      </c>
      <c r="E42">
        <v>0</v>
      </c>
      <c r="F42">
        <v>0</v>
      </c>
      <c r="G42" t="s">
        <v>28</v>
      </c>
      <c r="H42">
        <v>0</v>
      </c>
      <c r="I42">
        <v>0</v>
      </c>
      <c r="J42">
        <v>1</v>
      </c>
      <c r="K42">
        <v>5.57</v>
      </c>
      <c r="L42">
        <v>0</v>
      </c>
      <c r="M42">
        <v>4.4000000000000004</v>
      </c>
      <c r="N42">
        <v>592195.85</v>
      </c>
      <c r="O42">
        <v>92291.56</v>
      </c>
    </row>
    <row r="43" spans="1:15">
      <c r="A43" t="s">
        <v>32</v>
      </c>
      <c r="B43" s="2">
        <v>45689</v>
      </c>
      <c r="C43" t="s">
        <v>15</v>
      </c>
      <c r="D43">
        <v>0</v>
      </c>
      <c r="E43">
        <v>0</v>
      </c>
      <c r="F43">
        <v>0</v>
      </c>
      <c r="G43" t="s">
        <v>28</v>
      </c>
      <c r="H43">
        <v>0</v>
      </c>
      <c r="I43">
        <v>0</v>
      </c>
      <c r="J43">
        <v>1</v>
      </c>
      <c r="K43">
        <v>1.06</v>
      </c>
      <c r="L43">
        <v>0</v>
      </c>
      <c r="M43">
        <v>4.4000000000000004</v>
      </c>
      <c r="N43">
        <v>532644.46</v>
      </c>
      <c r="O43">
        <v>60681.32</v>
      </c>
    </row>
    <row r="44" spans="1:15">
      <c r="A44" t="s">
        <v>32</v>
      </c>
      <c r="B44" s="2">
        <v>45717</v>
      </c>
      <c r="C44" t="s">
        <v>15</v>
      </c>
      <c r="D44">
        <v>0</v>
      </c>
      <c r="E44">
        <v>0</v>
      </c>
      <c r="F44">
        <v>0</v>
      </c>
      <c r="G44" t="s">
        <v>28</v>
      </c>
      <c r="H44">
        <v>0</v>
      </c>
      <c r="I44">
        <v>0</v>
      </c>
      <c r="J44">
        <v>1</v>
      </c>
      <c r="K44">
        <v>1.24</v>
      </c>
      <c r="L44">
        <v>1</v>
      </c>
      <c r="M44">
        <v>4</v>
      </c>
      <c r="N44">
        <v>657429.18000000005</v>
      </c>
      <c r="O44">
        <v>88919.74</v>
      </c>
    </row>
    <row r="45" spans="1:15">
      <c r="A45" t="s">
        <v>32</v>
      </c>
      <c r="B45" s="2">
        <v>45748</v>
      </c>
      <c r="C45" t="s">
        <v>15</v>
      </c>
      <c r="D45">
        <v>0</v>
      </c>
      <c r="E45">
        <v>0</v>
      </c>
      <c r="F45">
        <v>0</v>
      </c>
      <c r="G45" t="s">
        <v>28</v>
      </c>
      <c r="H45">
        <v>0</v>
      </c>
      <c r="I45">
        <v>0</v>
      </c>
      <c r="J45">
        <v>1</v>
      </c>
      <c r="K45">
        <v>4.5199999999999996</v>
      </c>
      <c r="L45">
        <v>0</v>
      </c>
      <c r="M45">
        <v>4.2</v>
      </c>
      <c r="N45">
        <v>605178</v>
      </c>
      <c r="O45">
        <v>106958.74</v>
      </c>
    </row>
    <row r="46" spans="1:15">
      <c r="A46" t="s">
        <v>33</v>
      </c>
      <c r="B46" s="2">
        <v>45658</v>
      </c>
      <c r="C46" t="s">
        <v>27</v>
      </c>
      <c r="D46">
        <v>0</v>
      </c>
      <c r="E46">
        <v>0</v>
      </c>
      <c r="F46">
        <v>1</v>
      </c>
      <c r="G46" t="s">
        <v>16</v>
      </c>
      <c r="H46">
        <v>0</v>
      </c>
      <c r="I46">
        <v>0</v>
      </c>
      <c r="J46">
        <v>0</v>
      </c>
      <c r="K46">
        <v>9.58</v>
      </c>
      <c r="L46">
        <v>0</v>
      </c>
      <c r="M46">
        <v>3.2</v>
      </c>
      <c r="N46">
        <v>595467.6</v>
      </c>
      <c r="O46">
        <v>104276.46</v>
      </c>
    </row>
    <row r="47" spans="1:15">
      <c r="A47" t="s">
        <v>33</v>
      </c>
      <c r="B47" s="2">
        <v>45689</v>
      </c>
      <c r="C47" t="s">
        <v>27</v>
      </c>
      <c r="D47">
        <v>0</v>
      </c>
      <c r="E47">
        <v>0</v>
      </c>
      <c r="F47">
        <v>1</v>
      </c>
      <c r="G47" t="s">
        <v>16</v>
      </c>
      <c r="H47">
        <v>0</v>
      </c>
      <c r="I47">
        <v>0</v>
      </c>
      <c r="J47">
        <v>0</v>
      </c>
      <c r="K47">
        <v>5.52</v>
      </c>
      <c r="L47">
        <v>0</v>
      </c>
      <c r="M47">
        <v>3.5</v>
      </c>
      <c r="N47">
        <v>599603.4</v>
      </c>
      <c r="O47">
        <v>112685.12</v>
      </c>
    </row>
    <row r="48" spans="1:15">
      <c r="A48" t="s">
        <v>33</v>
      </c>
      <c r="B48" s="2">
        <v>45717</v>
      </c>
      <c r="C48" t="s">
        <v>27</v>
      </c>
      <c r="D48">
        <v>0</v>
      </c>
      <c r="E48">
        <v>0</v>
      </c>
      <c r="F48">
        <v>1</v>
      </c>
      <c r="G48" t="s">
        <v>16</v>
      </c>
      <c r="H48">
        <v>0</v>
      </c>
      <c r="I48">
        <v>0</v>
      </c>
      <c r="J48">
        <v>0</v>
      </c>
      <c r="K48">
        <v>2.7</v>
      </c>
      <c r="L48">
        <v>1</v>
      </c>
      <c r="M48">
        <v>3.2</v>
      </c>
      <c r="N48">
        <v>614800.09</v>
      </c>
      <c r="O48">
        <v>100044.2</v>
      </c>
    </row>
    <row r="49" spans="1:15">
      <c r="A49" t="s">
        <v>33</v>
      </c>
      <c r="B49" s="2">
        <v>45748</v>
      </c>
      <c r="C49" t="s">
        <v>27</v>
      </c>
      <c r="D49">
        <v>0</v>
      </c>
      <c r="E49">
        <v>0</v>
      </c>
      <c r="F49">
        <v>1</v>
      </c>
      <c r="G49" t="s">
        <v>16</v>
      </c>
      <c r="H49">
        <v>0</v>
      </c>
      <c r="I49">
        <v>0</v>
      </c>
      <c r="J49">
        <v>0</v>
      </c>
      <c r="K49">
        <v>9.64</v>
      </c>
      <c r="L49">
        <v>0</v>
      </c>
      <c r="M49">
        <v>3.3</v>
      </c>
      <c r="N49">
        <v>585365.73</v>
      </c>
      <c r="O49">
        <v>81011.520000000004</v>
      </c>
    </row>
    <row r="50" spans="1:15">
      <c r="A50" t="s">
        <v>34</v>
      </c>
      <c r="B50" s="2">
        <v>45658</v>
      </c>
      <c r="C50" t="s">
        <v>20</v>
      </c>
      <c r="D50">
        <v>1</v>
      </c>
      <c r="E50">
        <v>0</v>
      </c>
      <c r="F50">
        <v>0</v>
      </c>
      <c r="G50" t="s">
        <v>28</v>
      </c>
      <c r="H50">
        <v>0</v>
      </c>
      <c r="I50">
        <v>0</v>
      </c>
      <c r="J50">
        <v>1</v>
      </c>
      <c r="K50">
        <v>3.49</v>
      </c>
      <c r="L50">
        <v>1</v>
      </c>
      <c r="M50">
        <v>4.7</v>
      </c>
      <c r="N50">
        <v>622811.74</v>
      </c>
      <c r="O50">
        <v>109978.35</v>
      </c>
    </row>
    <row r="51" spans="1:15">
      <c r="A51" t="s">
        <v>34</v>
      </c>
      <c r="B51" s="2">
        <v>45689</v>
      </c>
      <c r="C51" t="s">
        <v>20</v>
      </c>
      <c r="D51">
        <v>1</v>
      </c>
      <c r="E51">
        <v>0</v>
      </c>
      <c r="F51">
        <v>0</v>
      </c>
      <c r="G51" t="s">
        <v>28</v>
      </c>
      <c r="H51">
        <v>0</v>
      </c>
      <c r="I51">
        <v>0</v>
      </c>
      <c r="J51">
        <v>1</v>
      </c>
      <c r="K51">
        <v>9.11</v>
      </c>
      <c r="L51">
        <v>0</v>
      </c>
      <c r="M51">
        <v>4.5999999999999996</v>
      </c>
      <c r="N51">
        <v>603297.56999999995</v>
      </c>
      <c r="O51">
        <v>60592.26</v>
      </c>
    </row>
    <row r="52" spans="1:15">
      <c r="A52" t="s">
        <v>34</v>
      </c>
      <c r="B52" s="2">
        <v>45717</v>
      </c>
      <c r="C52" t="s">
        <v>20</v>
      </c>
      <c r="D52">
        <v>1</v>
      </c>
      <c r="E52">
        <v>0</v>
      </c>
      <c r="F52">
        <v>0</v>
      </c>
      <c r="G52" t="s">
        <v>28</v>
      </c>
      <c r="H52">
        <v>0</v>
      </c>
      <c r="I52">
        <v>0</v>
      </c>
      <c r="J52">
        <v>1</v>
      </c>
      <c r="K52">
        <v>7.4</v>
      </c>
      <c r="L52">
        <v>0</v>
      </c>
      <c r="M52">
        <v>4.5</v>
      </c>
      <c r="N52">
        <v>625672.86</v>
      </c>
      <c r="O52">
        <v>118020.12</v>
      </c>
    </row>
    <row r="53" spans="1:15">
      <c r="A53" t="s">
        <v>34</v>
      </c>
      <c r="B53" s="2">
        <v>45748</v>
      </c>
      <c r="C53" t="s">
        <v>20</v>
      </c>
      <c r="D53">
        <v>1</v>
      </c>
      <c r="E53">
        <v>0</v>
      </c>
      <c r="F53">
        <v>0</v>
      </c>
      <c r="G53" t="s">
        <v>28</v>
      </c>
      <c r="H53">
        <v>0</v>
      </c>
      <c r="I53">
        <v>0</v>
      </c>
      <c r="J53">
        <v>1</v>
      </c>
      <c r="K53">
        <v>7.16</v>
      </c>
      <c r="L53">
        <v>0</v>
      </c>
      <c r="M53">
        <v>4.5999999999999996</v>
      </c>
      <c r="N53">
        <v>773815.14</v>
      </c>
      <c r="O53">
        <v>133948.39000000001</v>
      </c>
    </row>
    <row r="54" spans="1:15">
      <c r="A54" t="s">
        <v>35</v>
      </c>
      <c r="B54" s="2">
        <v>45658</v>
      </c>
      <c r="C54" t="s">
        <v>27</v>
      </c>
      <c r="D54">
        <v>0</v>
      </c>
      <c r="E54">
        <v>0</v>
      </c>
      <c r="F54">
        <v>1</v>
      </c>
      <c r="G54" t="s">
        <v>18</v>
      </c>
      <c r="H54">
        <v>1</v>
      </c>
      <c r="I54">
        <v>0</v>
      </c>
      <c r="J54">
        <v>0</v>
      </c>
      <c r="K54">
        <v>22.02</v>
      </c>
      <c r="L54">
        <v>0</v>
      </c>
      <c r="M54">
        <v>3.9</v>
      </c>
      <c r="N54">
        <v>463534.25</v>
      </c>
      <c r="O54">
        <v>81834.539999999994</v>
      </c>
    </row>
    <row r="55" spans="1:15">
      <c r="A55" t="s">
        <v>35</v>
      </c>
      <c r="B55" s="2">
        <v>45689</v>
      </c>
      <c r="C55" t="s">
        <v>27</v>
      </c>
      <c r="D55">
        <v>0</v>
      </c>
      <c r="E55">
        <v>0</v>
      </c>
      <c r="F55">
        <v>1</v>
      </c>
      <c r="G55" t="s">
        <v>18</v>
      </c>
      <c r="H55">
        <v>1</v>
      </c>
      <c r="I55">
        <v>0</v>
      </c>
      <c r="J55">
        <v>0</v>
      </c>
      <c r="K55">
        <v>6.18</v>
      </c>
      <c r="L55">
        <v>0</v>
      </c>
      <c r="M55">
        <v>4.7</v>
      </c>
      <c r="N55">
        <v>746677.75</v>
      </c>
      <c r="O55">
        <v>122437.84</v>
      </c>
    </row>
    <row r="56" spans="1:15">
      <c r="A56" t="s">
        <v>35</v>
      </c>
      <c r="B56" s="2">
        <v>45717</v>
      </c>
      <c r="C56" t="s">
        <v>27</v>
      </c>
      <c r="D56">
        <v>0</v>
      </c>
      <c r="E56">
        <v>0</v>
      </c>
      <c r="F56">
        <v>1</v>
      </c>
      <c r="G56" t="s">
        <v>18</v>
      </c>
      <c r="H56">
        <v>1</v>
      </c>
      <c r="I56">
        <v>0</v>
      </c>
      <c r="J56">
        <v>0</v>
      </c>
      <c r="K56">
        <v>1.76</v>
      </c>
      <c r="L56">
        <v>0</v>
      </c>
      <c r="M56">
        <v>4.3</v>
      </c>
      <c r="N56">
        <v>720852.5</v>
      </c>
      <c r="O56">
        <v>98565.62</v>
      </c>
    </row>
    <row r="57" spans="1:15">
      <c r="A57" t="s">
        <v>35</v>
      </c>
      <c r="B57" s="2">
        <v>45748</v>
      </c>
      <c r="C57" t="s">
        <v>27</v>
      </c>
      <c r="D57">
        <v>0</v>
      </c>
      <c r="E57">
        <v>0</v>
      </c>
      <c r="F57">
        <v>1</v>
      </c>
      <c r="G57" t="s">
        <v>18</v>
      </c>
      <c r="H57">
        <v>1</v>
      </c>
      <c r="I57">
        <v>0</v>
      </c>
      <c r="J57">
        <v>0</v>
      </c>
      <c r="K57">
        <v>0.47</v>
      </c>
      <c r="L57">
        <v>0</v>
      </c>
      <c r="M57">
        <v>4.0999999999999996</v>
      </c>
      <c r="N57">
        <v>487464.91</v>
      </c>
      <c r="O57">
        <v>64562.26</v>
      </c>
    </row>
    <row r="58" spans="1:15">
      <c r="A58" t="s">
        <v>36</v>
      </c>
      <c r="B58" s="2">
        <v>45658</v>
      </c>
      <c r="C58" t="s">
        <v>15</v>
      </c>
      <c r="D58">
        <v>0</v>
      </c>
      <c r="E58">
        <v>0</v>
      </c>
      <c r="F58">
        <v>0</v>
      </c>
      <c r="G58" t="s">
        <v>21</v>
      </c>
      <c r="H58">
        <v>0</v>
      </c>
      <c r="I58">
        <v>1</v>
      </c>
      <c r="J58">
        <v>0</v>
      </c>
      <c r="K58">
        <v>0.2</v>
      </c>
      <c r="L58">
        <v>0</v>
      </c>
      <c r="M58">
        <v>3.5</v>
      </c>
      <c r="N58">
        <v>518049.26</v>
      </c>
      <c r="O58">
        <v>108592.49</v>
      </c>
    </row>
    <row r="59" spans="1:15">
      <c r="A59" t="s">
        <v>36</v>
      </c>
      <c r="B59" s="2">
        <v>45689</v>
      </c>
      <c r="C59" t="s">
        <v>15</v>
      </c>
      <c r="D59">
        <v>0</v>
      </c>
      <c r="E59">
        <v>0</v>
      </c>
      <c r="F59">
        <v>0</v>
      </c>
      <c r="G59" t="s">
        <v>21</v>
      </c>
      <c r="H59">
        <v>0</v>
      </c>
      <c r="I59">
        <v>1</v>
      </c>
      <c r="J59">
        <v>0</v>
      </c>
      <c r="K59">
        <v>5.1100000000000003</v>
      </c>
      <c r="L59">
        <v>0</v>
      </c>
      <c r="M59">
        <v>3.7</v>
      </c>
      <c r="N59">
        <v>500298.48</v>
      </c>
      <c r="O59">
        <v>73461.320000000007</v>
      </c>
    </row>
    <row r="60" spans="1:15">
      <c r="A60" t="s">
        <v>36</v>
      </c>
      <c r="B60" s="2">
        <v>45717</v>
      </c>
      <c r="C60" t="s">
        <v>15</v>
      </c>
      <c r="D60">
        <v>0</v>
      </c>
      <c r="E60">
        <v>0</v>
      </c>
      <c r="F60">
        <v>0</v>
      </c>
      <c r="G60" t="s">
        <v>21</v>
      </c>
      <c r="H60">
        <v>0</v>
      </c>
      <c r="I60">
        <v>1</v>
      </c>
      <c r="J60">
        <v>0</v>
      </c>
      <c r="K60">
        <v>0.2</v>
      </c>
      <c r="L60">
        <v>0</v>
      </c>
      <c r="M60">
        <v>3.1</v>
      </c>
      <c r="N60">
        <v>617291.15</v>
      </c>
      <c r="O60">
        <v>117782</v>
      </c>
    </row>
    <row r="61" spans="1:15">
      <c r="A61" t="s">
        <v>36</v>
      </c>
      <c r="B61" s="2">
        <v>45748</v>
      </c>
      <c r="C61" t="s">
        <v>15</v>
      </c>
      <c r="D61">
        <v>0</v>
      </c>
      <c r="E61">
        <v>0</v>
      </c>
      <c r="F61">
        <v>0</v>
      </c>
      <c r="G61" t="s">
        <v>21</v>
      </c>
      <c r="H61">
        <v>0</v>
      </c>
      <c r="I61">
        <v>1</v>
      </c>
      <c r="J61">
        <v>0</v>
      </c>
      <c r="K61">
        <v>13.59</v>
      </c>
      <c r="L61">
        <v>0</v>
      </c>
      <c r="M61">
        <v>3.1</v>
      </c>
      <c r="N61">
        <v>553756.43000000005</v>
      </c>
      <c r="O61">
        <v>86166.77</v>
      </c>
    </row>
    <row r="62" spans="1:15">
      <c r="A62" t="s">
        <v>37</v>
      </c>
      <c r="B62" s="2">
        <v>45658</v>
      </c>
      <c r="C62" t="s">
        <v>24</v>
      </c>
      <c r="D62">
        <v>0</v>
      </c>
      <c r="E62">
        <v>1</v>
      </c>
      <c r="F62">
        <v>0</v>
      </c>
      <c r="G62" t="s">
        <v>18</v>
      </c>
      <c r="H62">
        <v>1</v>
      </c>
      <c r="I62">
        <v>0</v>
      </c>
      <c r="J62">
        <v>0</v>
      </c>
      <c r="K62">
        <v>1.02</v>
      </c>
      <c r="L62">
        <v>0</v>
      </c>
      <c r="M62">
        <v>3.7</v>
      </c>
      <c r="N62">
        <v>749559.71</v>
      </c>
      <c r="O62">
        <v>144522.53</v>
      </c>
    </row>
    <row r="63" spans="1:15">
      <c r="A63" t="s">
        <v>37</v>
      </c>
      <c r="B63" s="2">
        <v>45689</v>
      </c>
      <c r="C63" t="s">
        <v>24</v>
      </c>
      <c r="D63">
        <v>0</v>
      </c>
      <c r="E63">
        <v>1</v>
      </c>
      <c r="F63">
        <v>0</v>
      </c>
      <c r="G63" t="s">
        <v>18</v>
      </c>
      <c r="H63">
        <v>1</v>
      </c>
      <c r="I63">
        <v>0</v>
      </c>
      <c r="J63">
        <v>0</v>
      </c>
      <c r="K63">
        <v>1.64</v>
      </c>
      <c r="L63">
        <v>0</v>
      </c>
      <c r="M63">
        <v>3.8</v>
      </c>
      <c r="N63">
        <v>615966.48</v>
      </c>
      <c r="O63">
        <v>91509.38</v>
      </c>
    </row>
    <row r="64" spans="1:15">
      <c r="A64" t="s">
        <v>37</v>
      </c>
      <c r="B64" s="2">
        <v>45717</v>
      </c>
      <c r="C64" t="s">
        <v>24</v>
      </c>
      <c r="D64">
        <v>0</v>
      </c>
      <c r="E64">
        <v>1</v>
      </c>
      <c r="F64">
        <v>0</v>
      </c>
      <c r="G64" t="s">
        <v>18</v>
      </c>
      <c r="H64">
        <v>1</v>
      </c>
      <c r="I64">
        <v>0</v>
      </c>
      <c r="J64">
        <v>0</v>
      </c>
      <c r="K64">
        <v>5.15</v>
      </c>
      <c r="L64">
        <v>0</v>
      </c>
      <c r="M64">
        <v>3.3</v>
      </c>
      <c r="N64">
        <v>572011.19999999995</v>
      </c>
      <c r="O64">
        <v>101409.68</v>
      </c>
    </row>
    <row r="65" spans="1:15">
      <c r="A65" t="s">
        <v>37</v>
      </c>
      <c r="B65" s="2">
        <v>45748</v>
      </c>
      <c r="C65" t="s">
        <v>24</v>
      </c>
      <c r="D65">
        <v>0</v>
      </c>
      <c r="E65">
        <v>1</v>
      </c>
      <c r="F65">
        <v>0</v>
      </c>
      <c r="G65" t="s">
        <v>18</v>
      </c>
      <c r="H65">
        <v>1</v>
      </c>
      <c r="I65">
        <v>0</v>
      </c>
      <c r="J65">
        <v>0</v>
      </c>
      <c r="K65">
        <v>1.1100000000000001</v>
      </c>
      <c r="L65">
        <v>0</v>
      </c>
      <c r="M65">
        <v>3.5</v>
      </c>
      <c r="N65">
        <v>761860.19</v>
      </c>
      <c r="O65">
        <v>133279.38</v>
      </c>
    </row>
    <row r="66" spans="1:15">
      <c r="A66" t="s">
        <v>38</v>
      </c>
      <c r="B66" s="2">
        <v>45658</v>
      </c>
      <c r="C66" t="s">
        <v>27</v>
      </c>
      <c r="D66">
        <v>0</v>
      </c>
      <c r="E66">
        <v>0</v>
      </c>
      <c r="F66">
        <v>1</v>
      </c>
      <c r="G66" t="s">
        <v>18</v>
      </c>
      <c r="H66">
        <v>1</v>
      </c>
      <c r="I66">
        <v>0</v>
      </c>
      <c r="J66">
        <v>0</v>
      </c>
      <c r="K66">
        <v>6.08</v>
      </c>
      <c r="L66">
        <v>1</v>
      </c>
      <c r="M66">
        <v>3.4</v>
      </c>
      <c r="N66">
        <v>784502.68</v>
      </c>
      <c r="O66">
        <v>129519.72</v>
      </c>
    </row>
    <row r="67" spans="1:15">
      <c r="A67" t="s">
        <v>38</v>
      </c>
      <c r="B67" s="2">
        <v>45689</v>
      </c>
      <c r="C67" t="s">
        <v>27</v>
      </c>
      <c r="D67">
        <v>0</v>
      </c>
      <c r="E67">
        <v>0</v>
      </c>
      <c r="F67">
        <v>1</v>
      </c>
      <c r="G67" t="s">
        <v>18</v>
      </c>
      <c r="H67">
        <v>1</v>
      </c>
      <c r="I67">
        <v>0</v>
      </c>
      <c r="J67">
        <v>0</v>
      </c>
      <c r="K67">
        <v>10.91</v>
      </c>
      <c r="L67">
        <v>0</v>
      </c>
      <c r="M67">
        <v>3.6</v>
      </c>
      <c r="N67">
        <v>717141.55</v>
      </c>
      <c r="O67">
        <v>134013.60999999999</v>
      </c>
    </row>
    <row r="68" spans="1:15">
      <c r="A68" t="s">
        <v>38</v>
      </c>
      <c r="B68" s="2">
        <v>45717</v>
      </c>
      <c r="C68" t="s">
        <v>27</v>
      </c>
      <c r="D68">
        <v>0</v>
      </c>
      <c r="E68">
        <v>0</v>
      </c>
      <c r="F68">
        <v>1</v>
      </c>
      <c r="G68" t="s">
        <v>18</v>
      </c>
      <c r="H68">
        <v>1</v>
      </c>
      <c r="I68">
        <v>0</v>
      </c>
      <c r="J68">
        <v>0</v>
      </c>
      <c r="K68">
        <v>19.010000000000002</v>
      </c>
      <c r="L68">
        <v>1</v>
      </c>
      <c r="M68">
        <v>3.2</v>
      </c>
      <c r="N68">
        <v>685379.08</v>
      </c>
      <c r="O68">
        <v>106898.82</v>
      </c>
    </row>
    <row r="69" spans="1:15">
      <c r="A69" t="s">
        <v>38</v>
      </c>
      <c r="B69" s="2">
        <v>45748</v>
      </c>
      <c r="C69" t="s">
        <v>27</v>
      </c>
      <c r="D69">
        <v>0</v>
      </c>
      <c r="E69">
        <v>0</v>
      </c>
      <c r="F69">
        <v>1</v>
      </c>
      <c r="G69" t="s">
        <v>18</v>
      </c>
      <c r="H69">
        <v>1</v>
      </c>
      <c r="I69">
        <v>0</v>
      </c>
      <c r="J69">
        <v>0</v>
      </c>
      <c r="K69">
        <v>0.77</v>
      </c>
      <c r="L69">
        <v>0</v>
      </c>
      <c r="M69">
        <v>3.4</v>
      </c>
      <c r="N69">
        <v>740496.65</v>
      </c>
      <c r="O69">
        <v>128020.9</v>
      </c>
    </row>
    <row r="70" spans="1:15">
      <c r="A70" t="s">
        <v>39</v>
      </c>
      <c r="B70" s="2">
        <v>45658</v>
      </c>
      <c r="C70" t="s">
        <v>15</v>
      </c>
      <c r="D70">
        <v>0</v>
      </c>
      <c r="E70">
        <v>0</v>
      </c>
      <c r="F70">
        <v>0</v>
      </c>
      <c r="G70" t="s">
        <v>18</v>
      </c>
      <c r="H70">
        <v>1</v>
      </c>
      <c r="I70">
        <v>0</v>
      </c>
      <c r="J70">
        <v>0</v>
      </c>
      <c r="K70">
        <v>2.83</v>
      </c>
      <c r="L70">
        <v>1</v>
      </c>
      <c r="M70">
        <v>3.3</v>
      </c>
      <c r="N70">
        <v>661927.14</v>
      </c>
      <c r="O70">
        <v>79218.570000000007</v>
      </c>
    </row>
    <row r="71" spans="1:15">
      <c r="A71" t="s">
        <v>39</v>
      </c>
      <c r="B71" s="2">
        <v>45689</v>
      </c>
      <c r="C71" t="s">
        <v>15</v>
      </c>
      <c r="D71">
        <v>0</v>
      </c>
      <c r="E71">
        <v>0</v>
      </c>
      <c r="F71">
        <v>0</v>
      </c>
      <c r="G71" t="s">
        <v>18</v>
      </c>
      <c r="H71">
        <v>1</v>
      </c>
      <c r="I71">
        <v>0</v>
      </c>
      <c r="J71">
        <v>0</v>
      </c>
      <c r="K71">
        <v>2.33</v>
      </c>
      <c r="L71">
        <v>0</v>
      </c>
      <c r="M71">
        <v>3.3</v>
      </c>
      <c r="N71">
        <v>479050.5</v>
      </c>
      <c r="O71">
        <v>53651.11</v>
      </c>
    </row>
    <row r="72" spans="1:15">
      <c r="A72" t="s">
        <v>39</v>
      </c>
      <c r="B72" s="2">
        <v>45717</v>
      </c>
      <c r="C72" t="s">
        <v>15</v>
      </c>
      <c r="D72">
        <v>0</v>
      </c>
      <c r="E72">
        <v>0</v>
      </c>
      <c r="F72">
        <v>0</v>
      </c>
      <c r="G72" t="s">
        <v>18</v>
      </c>
      <c r="H72">
        <v>1</v>
      </c>
      <c r="I72">
        <v>0</v>
      </c>
      <c r="J72">
        <v>0</v>
      </c>
      <c r="K72">
        <v>1.43</v>
      </c>
      <c r="L72">
        <v>0</v>
      </c>
      <c r="M72">
        <v>3.2</v>
      </c>
      <c r="N72">
        <v>605023.87</v>
      </c>
      <c r="O72">
        <v>98545.81</v>
      </c>
    </row>
    <row r="73" spans="1:15">
      <c r="A73" t="s">
        <v>39</v>
      </c>
      <c r="B73" s="2">
        <v>45748</v>
      </c>
      <c r="C73" t="s">
        <v>15</v>
      </c>
      <c r="D73">
        <v>0</v>
      </c>
      <c r="E73">
        <v>0</v>
      </c>
      <c r="F73">
        <v>0</v>
      </c>
      <c r="G73" t="s">
        <v>18</v>
      </c>
      <c r="H73">
        <v>1</v>
      </c>
      <c r="I73">
        <v>0</v>
      </c>
      <c r="J73">
        <v>0</v>
      </c>
      <c r="L73">
        <v>0</v>
      </c>
      <c r="M73">
        <v>3.5</v>
      </c>
      <c r="N73">
        <v>674774.09</v>
      </c>
      <c r="O73">
        <v>141917.59</v>
      </c>
    </row>
    <row r="74" spans="1:15">
      <c r="A74" t="s">
        <v>40</v>
      </c>
      <c r="B74" s="2">
        <v>45658</v>
      </c>
      <c r="C74" t="s">
        <v>15</v>
      </c>
      <c r="D74">
        <v>0</v>
      </c>
      <c r="E74">
        <v>0</v>
      </c>
      <c r="F74">
        <v>0</v>
      </c>
      <c r="G74" t="s">
        <v>16</v>
      </c>
      <c r="H74">
        <v>0</v>
      </c>
      <c r="I74">
        <v>0</v>
      </c>
      <c r="J74">
        <v>0</v>
      </c>
      <c r="K74">
        <v>4.91</v>
      </c>
      <c r="L74">
        <v>0</v>
      </c>
      <c r="M74">
        <v>4.5</v>
      </c>
      <c r="N74">
        <v>616069.41</v>
      </c>
      <c r="O74">
        <v>54453.99</v>
      </c>
    </row>
    <row r="75" spans="1:15">
      <c r="A75" t="s">
        <v>40</v>
      </c>
      <c r="B75" s="2">
        <v>45689</v>
      </c>
      <c r="C75" t="s">
        <v>15</v>
      </c>
      <c r="D75">
        <v>0</v>
      </c>
      <c r="E75">
        <v>0</v>
      </c>
      <c r="F75">
        <v>0</v>
      </c>
      <c r="G75" t="s">
        <v>16</v>
      </c>
      <c r="H75">
        <v>0</v>
      </c>
      <c r="I75">
        <v>0</v>
      </c>
      <c r="J75">
        <v>0</v>
      </c>
      <c r="K75">
        <v>7.03</v>
      </c>
      <c r="L75">
        <v>0</v>
      </c>
      <c r="M75">
        <v>4.4000000000000004</v>
      </c>
      <c r="N75">
        <v>630829.93999999994</v>
      </c>
      <c r="O75">
        <v>117090.02</v>
      </c>
    </row>
    <row r="76" spans="1:15">
      <c r="A76" t="s">
        <v>40</v>
      </c>
      <c r="B76" s="2">
        <v>45717</v>
      </c>
      <c r="C76" t="s">
        <v>15</v>
      </c>
      <c r="D76">
        <v>0</v>
      </c>
      <c r="E76">
        <v>0</v>
      </c>
      <c r="F76">
        <v>0</v>
      </c>
      <c r="G76" t="s">
        <v>16</v>
      </c>
      <c r="H76">
        <v>0</v>
      </c>
      <c r="I76">
        <v>0</v>
      </c>
      <c r="J76">
        <v>0</v>
      </c>
      <c r="K76">
        <v>0.28000000000000003</v>
      </c>
      <c r="L76">
        <v>1</v>
      </c>
      <c r="M76">
        <v>4.3</v>
      </c>
      <c r="N76">
        <v>788087.68</v>
      </c>
      <c r="O76">
        <v>116803.42</v>
      </c>
    </row>
    <row r="77" spans="1:15">
      <c r="A77" t="s">
        <v>40</v>
      </c>
      <c r="B77" s="2">
        <v>45748</v>
      </c>
      <c r="C77" t="s">
        <v>15</v>
      </c>
      <c r="D77">
        <v>0</v>
      </c>
      <c r="E77">
        <v>0</v>
      </c>
      <c r="F77">
        <v>0</v>
      </c>
      <c r="G77" t="s">
        <v>16</v>
      </c>
      <c r="H77">
        <v>0</v>
      </c>
      <c r="I77">
        <v>0</v>
      </c>
      <c r="J77">
        <v>0</v>
      </c>
      <c r="K77">
        <v>3.61</v>
      </c>
      <c r="L77">
        <v>0</v>
      </c>
      <c r="M77">
        <v>4.5</v>
      </c>
      <c r="N77">
        <v>680840.36</v>
      </c>
      <c r="O77">
        <v>68007.679999999993</v>
      </c>
    </row>
    <row r="78" spans="1:15">
      <c r="A78" t="s">
        <v>41</v>
      </c>
      <c r="B78" s="2">
        <v>45658</v>
      </c>
      <c r="C78" t="s">
        <v>24</v>
      </c>
      <c r="D78">
        <v>0</v>
      </c>
      <c r="E78">
        <v>1</v>
      </c>
      <c r="F78">
        <v>0</v>
      </c>
      <c r="G78" t="s">
        <v>18</v>
      </c>
      <c r="H78">
        <v>1</v>
      </c>
      <c r="I78">
        <v>0</v>
      </c>
      <c r="J78">
        <v>0</v>
      </c>
      <c r="K78">
        <v>7.52</v>
      </c>
      <c r="L78">
        <v>1</v>
      </c>
      <c r="M78">
        <v>3.2</v>
      </c>
      <c r="N78">
        <v>643657.47</v>
      </c>
      <c r="O78">
        <v>87022.45</v>
      </c>
    </row>
    <row r="79" spans="1:15">
      <c r="A79" t="s">
        <v>41</v>
      </c>
      <c r="B79" s="2">
        <v>45689</v>
      </c>
      <c r="C79" t="s">
        <v>24</v>
      </c>
      <c r="D79">
        <v>0</v>
      </c>
      <c r="E79">
        <v>1</v>
      </c>
      <c r="F79">
        <v>0</v>
      </c>
      <c r="G79" t="s">
        <v>18</v>
      </c>
      <c r="H79">
        <v>1</v>
      </c>
      <c r="I79">
        <v>0</v>
      </c>
      <c r="J79">
        <v>0</v>
      </c>
      <c r="K79">
        <v>2.58</v>
      </c>
      <c r="L79">
        <v>0</v>
      </c>
      <c r="M79">
        <v>2.9</v>
      </c>
      <c r="N79">
        <v>691112.6</v>
      </c>
      <c r="O79">
        <v>109212.83</v>
      </c>
    </row>
    <row r="80" spans="1:15">
      <c r="A80" t="s">
        <v>41</v>
      </c>
      <c r="B80" s="2">
        <v>45717</v>
      </c>
      <c r="C80" t="s">
        <v>24</v>
      </c>
      <c r="D80">
        <v>0</v>
      </c>
      <c r="E80">
        <v>1</v>
      </c>
      <c r="F80">
        <v>0</v>
      </c>
      <c r="G80" t="s">
        <v>18</v>
      </c>
      <c r="H80">
        <v>1</v>
      </c>
      <c r="I80">
        <v>0</v>
      </c>
      <c r="J80">
        <v>0</v>
      </c>
      <c r="K80">
        <v>2.29</v>
      </c>
      <c r="L80">
        <v>0</v>
      </c>
      <c r="M80">
        <v>3.3</v>
      </c>
      <c r="N80">
        <v>776922.17</v>
      </c>
      <c r="O80">
        <v>150701.93</v>
      </c>
    </row>
    <row r="81" spans="1:15">
      <c r="A81" t="s">
        <v>41</v>
      </c>
      <c r="B81" s="2">
        <v>45748</v>
      </c>
      <c r="C81" t="s">
        <v>24</v>
      </c>
      <c r="D81">
        <v>0</v>
      </c>
      <c r="E81">
        <v>1</v>
      </c>
      <c r="F81">
        <v>0</v>
      </c>
      <c r="G81" t="s">
        <v>18</v>
      </c>
      <c r="H81">
        <v>1</v>
      </c>
      <c r="I81">
        <v>0</v>
      </c>
      <c r="J81">
        <v>0</v>
      </c>
      <c r="K81">
        <v>2.39</v>
      </c>
      <c r="L81">
        <v>0</v>
      </c>
      <c r="M81">
        <v>3.2</v>
      </c>
      <c r="N81">
        <v>636561.34</v>
      </c>
      <c r="O81">
        <v>93861.06</v>
      </c>
    </row>
    <row r="82" spans="1:15">
      <c r="A82" t="s">
        <v>42</v>
      </c>
      <c r="B82" s="2">
        <v>45658</v>
      </c>
      <c r="C82" t="s">
        <v>27</v>
      </c>
      <c r="D82">
        <v>0</v>
      </c>
      <c r="E82">
        <v>0</v>
      </c>
      <c r="F82">
        <v>1</v>
      </c>
      <c r="G82" t="s">
        <v>28</v>
      </c>
      <c r="H82">
        <v>0</v>
      </c>
      <c r="I82">
        <v>0</v>
      </c>
      <c r="J82">
        <v>1</v>
      </c>
      <c r="K82">
        <v>5.24</v>
      </c>
      <c r="L82">
        <v>0</v>
      </c>
      <c r="M82">
        <v>4.5999999999999996</v>
      </c>
      <c r="N82">
        <v>621369.57999999996</v>
      </c>
      <c r="O82">
        <v>85493.64</v>
      </c>
    </row>
    <row r="83" spans="1:15">
      <c r="A83" t="s">
        <v>42</v>
      </c>
      <c r="B83" s="2">
        <v>45689</v>
      </c>
      <c r="C83" t="s">
        <v>27</v>
      </c>
      <c r="D83">
        <v>0</v>
      </c>
      <c r="E83">
        <v>0</v>
      </c>
      <c r="F83">
        <v>1</v>
      </c>
      <c r="G83" t="s">
        <v>28</v>
      </c>
      <c r="H83">
        <v>0</v>
      </c>
      <c r="I83">
        <v>0</v>
      </c>
      <c r="J83">
        <v>1</v>
      </c>
      <c r="K83">
        <v>3.17</v>
      </c>
      <c r="L83">
        <v>0</v>
      </c>
      <c r="M83">
        <v>4.5999999999999996</v>
      </c>
      <c r="N83">
        <v>682208.01</v>
      </c>
      <c r="O83">
        <v>110318.84</v>
      </c>
    </row>
    <row r="84" spans="1:15">
      <c r="A84" t="s">
        <v>42</v>
      </c>
      <c r="B84" s="2">
        <v>45717</v>
      </c>
      <c r="C84" t="s">
        <v>27</v>
      </c>
      <c r="D84">
        <v>0</v>
      </c>
      <c r="E84">
        <v>0</v>
      </c>
      <c r="F84">
        <v>1</v>
      </c>
      <c r="G84" t="s">
        <v>28</v>
      </c>
      <c r="H84">
        <v>0</v>
      </c>
      <c r="I84">
        <v>0</v>
      </c>
      <c r="J84">
        <v>1</v>
      </c>
      <c r="K84">
        <v>2.66</v>
      </c>
      <c r="L84">
        <v>0</v>
      </c>
      <c r="M84">
        <v>4.5999999999999996</v>
      </c>
      <c r="N84">
        <v>727241.86</v>
      </c>
      <c r="O84">
        <v>155810.29999999999</v>
      </c>
    </row>
    <row r="85" spans="1:15">
      <c r="A85" t="s">
        <v>42</v>
      </c>
      <c r="B85" s="2">
        <v>45748</v>
      </c>
      <c r="C85" t="s">
        <v>27</v>
      </c>
      <c r="D85">
        <v>0</v>
      </c>
      <c r="E85">
        <v>0</v>
      </c>
      <c r="F85">
        <v>1</v>
      </c>
      <c r="G85" t="s">
        <v>28</v>
      </c>
      <c r="H85">
        <v>0</v>
      </c>
      <c r="I85">
        <v>0</v>
      </c>
      <c r="J85">
        <v>1</v>
      </c>
      <c r="K85">
        <v>1.41</v>
      </c>
      <c r="L85">
        <v>0</v>
      </c>
      <c r="M85">
        <v>4.2</v>
      </c>
      <c r="N85">
        <v>569100.78</v>
      </c>
      <c r="O85">
        <v>104808.78</v>
      </c>
    </row>
    <row r="86" spans="1:15">
      <c r="A86" t="s">
        <v>43</v>
      </c>
      <c r="B86" s="2">
        <v>45658</v>
      </c>
      <c r="C86" t="s">
        <v>27</v>
      </c>
      <c r="D86">
        <v>0</v>
      </c>
      <c r="E86">
        <v>0</v>
      </c>
      <c r="F86">
        <v>1</v>
      </c>
      <c r="G86" t="s">
        <v>18</v>
      </c>
      <c r="H86">
        <v>1</v>
      </c>
      <c r="I86">
        <v>0</v>
      </c>
      <c r="J86">
        <v>0</v>
      </c>
      <c r="K86">
        <v>7.34</v>
      </c>
      <c r="L86">
        <v>0</v>
      </c>
      <c r="M86">
        <v>4.9000000000000004</v>
      </c>
      <c r="N86">
        <v>574436.29</v>
      </c>
      <c r="O86">
        <v>80271.990000000005</v>
      </c>
    </row>
    <row r="87" spans="1:15">
      <c r="A87" t="s">
        <v>43</v>
      </c>
      <c r="B87" s="2">
        <v>45689</v>
      </c>
      <c r="C87" t="s">
        <v>27</v>
      </c>
      <c r="D87">
        <v>0</v>
      </c>
      <c r="E87">
        <v>0</v>
      </c>
      <c r="F87">
        <v>1</v>
      </c>
      <c r="G87" t="s">
        <v>18</v>
      </c>
      <c r="H87">
        <v>1</v>
      </c>
      <c r="I87">
        <v>0</v>
      </c>
      <c r="J87">
        <v>0</v>
      </c>
      <c r="K87">
        <v>5.95</v>
      </c>
      <c r="L87">
        <v>0</v>
      </c>
      <c r="N87">
        <v>611766.72</v>
      </c>
      <c r="O87">
        <v>88275.61</v>
      </c>
    </row>
    <row r="88" spans="1:15">
      <c r="A88" t="s">
        <v>43</v>
      </c>
      <c r="B88" s="2">
        <v>45717</v>
      </c>
      <c r="C88" t="s">
        <v>27</v>
      </c>
      <c r="D88">
        <v>0</v>
      </c>
      <c r="E88">
        <v>0</v>
      </c>
      <c r="F88">
        <v>1</v>
      </c>
      <c r="G88" t="s">
        <v>18</v>
      </c>
      <c r="H88">
        <v>1</v>
      </c>
      <c r="I88">
        <v>0</v>
      </c>
      <c r="J88">
        <v>0</v>
      </c>
      <c r="K88">
        <v>15.51</v>
      </c>
      <c r="L88">
        <v>0</v>
      </c>
      <c r="M88">
        <v>4.3</v>
      </c>
      <c r="N88">
        <v>614596.31999999995</v>
      </c>
      <c r="O88">
        <v>131199.41</v>
      </c>
    </row>
    <row r="89" spans="1:15">
      <c r="A89" t="s">
        <v>43</v>
      </c>
      <c r="B89" s="2">
        <v>45748</v>
      </c>
      <c r="C89" t="s">
        <v>27</v>
      </c>
      <c r="D89">
        <v>0</v>
      </c>
      <c r="E89">
        <v>0</v>
      </c>
      <c r="F89">
        <v>1</v>
      </c>
      <c r="G89" t="s">
        <v>18</v>
      </c>
      <c r="H89">
        <v>1</v>
      </c>
      <c r="I89">
        <v>0</v>
      </c>
      <c r="J89">
        <v>0</v>
      </c>
      <c r="K89">
        <v>4.3099999999999996</v>
      </c>
      <c r="L89">
        <v>0</v>
      </c>
      <c r="M89">
        <v>4.5999999999999996</v>
      </c>
      <c r="N89">
        <v>450711.92</v>
      </c>
      <c r="O89">
        <v>90043.76</v>
      </c>
    </row>
    <row r="90" spans="1:15">
      <c r="A90" t="s">
        <v>44</v>
      </c>
      <c r="B90" s="2">
        <v>45658</v>
      </c>
      <c r="C90" t="s">
        <v>24</v>
      </c>
      <c r="D90">
        <v>0</v>
      </c>
      <c r="E90">
        <v>1</v>
      </c>
      <c r="F90">
        <v>0</v>
      </c>
      <c r="G90" t="s">
        <v>28</v>
      </c>
      <c r="H90">
        <v>0</v>
      </c>
      <c r="I90">
        <v>0</v>
      </c>
      <c r="J90">
        <v>1</v>
      </c>
      <c r="K90">
        <v>6.61</v>
      </c>
      <c r="L90">
        <v>1</v>
      </c>
      <c r="M90">
        <v>4.0999999999999996</v>
      </c>
      <c r="N90">
        <v>711213.46</v>
      </c>
      <c r="O90">
        <v>105863.26</v>
      </c>
    </row>
    <row r="91" spans="1:15">
      <c r="A91" t="s">
        <v>44</v>
      </c>
      <c r="B91" s="2">
        <v>45689</v>
      </c>
      <c r="C91" t="s">
        <v>24</v>
      </c>
      <c r="D91">
        <v>0</v>
      </c>
      <c r="E91">
        <v>1</v>
      </c>
      <c r="F91">
        <v>0</v>
      </c>
      <c r="G91" t="s">
        <v>28</v>
      </c>
      <c r="H91">
        <v>0</v>
      </c>
      <c r="I91">
        <v>0</v>
      </c>
      <c r="J91">
        <v>1</v>
      </c>
      <c r="K91">
        <v>4.26</v>
      </c>
      <c r="L91">
        <v>0</v>
      </c>
      <c r="M91">
        <v>4.5</v>
      </c>
      <c r="N91">
        <v>627171.9</v>
      </c>
      <c r="O91">
        <v>105772.75</v>
      </c>
    </row>
    <row r="92" spans="1:15">
      <c r="A92" t="s">
        <v>44</v>
      </c>
      <c r="B92" s="2">
        <v>45717</v>
      </c>
      <c r="C92" t="s">
        <v>24</v>
      </c>
      <c r="D92">
        <v>0</v>
      </c>
      <c r="E92">
        <v>1</v>
      </c>
      <c r="F92">
        <v>0</v>
      </c>
      <c r="G92" t="s">
        <v>28</v>
      </c>
      <c r="H92">
        <v>0</v>
      </c>
      <c r="I92">
        <v>0</v>
      </c>
      <c r="J92">
        <v>1</v>
      </c>
      <c r="K92">
        <v>5.75</v>
      </c>
      <c r="L92">
        <v>0</v>
      </c>
      <c r="M92">
        <v>4.7</v>
      </c>
      <c r="N92">
        <v>739852.58</v>
      </c>
      <c r="O92">
        <v>129386.43</v>
      </c>
    </row>
    <row r="93" spans="1:15">
      <c r="A93" t="s">
        <v>44</v>
      </c>
      <c r="B93" s="2">
        <v>45748</v>
      </c>
      <c r="C93" t="s">
        <v>24</v>
      </c>
      <c r="D93">
        <v>0</v>
      </c>
      <c r="E93">
        <v>1</v>
      </c>
      <c r="F93">
        <v>0</v>
      </c>
      <c r="G93" t="s">
        <v>28</v>
      </c>
      <c r="H93">
        <v>0</v>
      </c>
      <c r="I93">
        <v>0</v>
      </c>
      <c r="J93">
        <v>1</v>
      </c>
      <c r="K93">
        <v>0.33</v>
      </c>
      <c r="L93">
        <v>0</v>
      </c>
      <c r="M93">
        <v>4.3</v>
      </c>
      <c r="N93">
        <v>586307.22</v>
      </c>
      <c r="O93">
        <v>73927.850000000006</v>
      </c>
    </row>
    <row r="94" spans="1:15">
      <c r="A94" t="s">
        <v>45</v>
      </c>
      <c r="B94" s="2">
        <v>45658</v>
      </c>
      <c r="C94" t="s">
        <v>27</v>
      </c>
      <c r="D94">
        <v>0</v>
      </c>
      <c r="E94">
        <v>0</v>
      </c>
      <c r="F94">
        <v>1</v>
      </c>
      <c r="G94" t="s">
        <v>16</v>
      </c>
      <c r="H94">
        <v>0</v>
      </c>
      <c r="I94">
        <v>0</v>
      </c>
      <c r="J94">
        <v>0</v>
      </c>
      <c r="K94">
        <v>2.92</v>
      </c>
      <c r="L94">
        <v>0</v>
      </c>
      <c r="M94">
        <v>4.5999999999999996</v>
      </c>
      <c r="N94">
        <v>585937.48</v>
      </c>
      <c r="O94">
        <v>82624.2</v>
      </c>
    </row>
    <row r="95" spans="1:15">
      <c r="A95" t="s">
        <v>45</v>
      </c>
      <c r="B95" s="2">
        <v>45689</v>
      </c>
      <c r="C95" t="s">
        <v>27</v>
      </c>
      <c r="D95">
        <v>0</v>
      </c>
      <c r="E95">
        <v>0</v>
      </c>
      <c r="F95">
        <v>1</v>
      </c>
      <c r="G95" t="s">
        <v>16</v>
      </c>
      <c r="H95">
        <v>0</v>
      </c>
      <c r="I95">
        <v>0</v>
      </c>
      <c r="J95">
        <v>0</v>
      </c>
      <c r="K95">
        <v>1.64</v>
      </c>
      <c r="L95">
        <v>0</v>
      </c>
      <c r="M95">
        <v>4.5</v>
      </c>
      <c r="N95">
        <v>753473.55</v>
      </c>
      <c r="O95">
        <v>151527.22</v>
      </c>
    </row>
    <row r="96" spans="1:15">
      <c r="A96" t="s">
        <v>45</v>
      </c>
      <c r="B96" s="2">
        <v>45717</v>
      </c>
      <c r="C96" t="s">
        <v>27</v>
      </c>
      <c r="D96">
        <v>0</v>
      </c>
      <c r="E96">
        <v>0</v>
      </c>
      <c r="F96">
        <v>1</v>
      </c>
      <c r="G96" t="s">
        <v>16</v>
      </c>
      <c r="H96">
        <v>0</v>
      </c>
      <c r="I96">
        <v>0</v>
      </c>
      <c r="J96">
        <v>0</v>
      </c>
      <c r="K96">
        <v>0.8</v>
      </c>
      <c r="L96">
        <v>0</v>
      </c>
      <c r="M96">
        <v>5</v>
      </c>
      <c r="N96">
        <v>838250.32</v>
      </c>
      <c r="O96">
        <v>122939.34</v>
      </c>
    </row>
    <row r="97" spans="1:15">
      <c r="A97" t="s">
        <v>45</v>
      </c>
      <c r="B97" s="2">
        <v>45748</v>
      </c>
      <c r="C97" t="s">
        <v>27</v>
      </c>
      <c r="D97">
        <v>0</v>
      </c>
      <c r="E97">
        <v>0</v>
      </c>
      <c r="F97">
        <v>1</v>
      </c>
      <c r="G97" t="s">
        <v>16</v>
      </c>
      <c r="H97">
        <v>0</v>
      </c>
      <c r="I97">
        <v>0</v>
      </c>
      <c r="J97">
        <v>0</v>
      </c>
      <c r="K97">
        <v>5.79</v>
      </c>
      <c r="L97">
        <v>0</v>
      </c>
      <c r="M97">
        <v>4.5</v>
      </c>
      <c r="N97">
        <v>607898.12</v>
      </c>
      <c r="O97">
        <v>135404.85</v>
      </c>
    </row>
    <row r="98" spans="1:15">
      <c r="A98" t="s">
        <v>46</v>
      </c>
      <c r="B98" s="2">
        <v>45658</v>
      </c>
      <c r="C98" t="s">
        <v>27</v>
      </c>
      <c r="D98">
        <v>0</v>
      </c>
      <c r="E98">
        <v>0</v>
      </c>
      <c r="F98">
        <v>1</v>
      </c>
      <c r="G98" t="s">
        <v>28</v>
      </c>
      <c r="H98">
        <v>0</v>
      </c>
      <c r="I98">
        <v>0</v>
      </c>
      <c r="J98">
        <v>1</v>
      </c>
      <c r="K98">
        <v>19.600000000000001</v>
      </c>
      <c r="L98">
        <v>0</v>
      </c>
      <c r="M98">
        <v>4.4000000000000004</v>
      </c>
      <c r="N98">
        <v>691113.62</v>
      </c>
      <c r="O98">
        <v>135145.44</v>
      </c>
    </row>
    <row r="99" spans="1:15">
      <c r="A99" t="s">
        <v>46</v>
      </c>
      <c r="B99" s="2">
        <v>45689</v>
      </c>
      <c r="C99" t="s">
        <v>27</v>
      </c>
      <c r="D99">
        <v>0</v>
      </c>
      <c r="E99">
        <v>0</v>
      </c>
      <c r="F99">
        <v>1</v>
      </c>
      <c r="G99" t="s">
        <v>28</v>
      </c>
      <c r="H99">
        <v>0</v>
      </c>
      <c r="I99">
        <v>0</v>
      </c>
      <c r="J99">
        <v>1</v>
      </c>
      <c r="K99">
        <v>7.57</v>
      </c>
      <c r="L99">
        <v>0</v>
      </c>
      <c r="M99">
        <v>4.3</v>
      </c>
      <c r="N99">
        <v>735509.4</v>
      </c>
      <c r="O99">
        <v>83895.96</v>
      </c>
    </row>
    <row r="100" spans="1:15">
      <c r="A100" t="s">
        <v>46</v>
      </c>
      <c r="B100" s="2">
        <v>45717</v>
      </c>
      <c r="C100" t="s">
        <v>27</v>
      </c>
      <c r="D100">
        <v>0</v>
      </c>
      <c r="E100">
        <v>0</v>
      </c>
      <c r="F100">
        <v>1</v>
      </c>
      <c r="G100" t="s">
        <v>28</v>
      </c>
      <c r="H100">
        <v>0</v>
      </c>
      <c r="I100">
        <v>0</v>
      </c>
      <c r="J100">
        <v>1</v>
      </c>
      <c r="L100">
        <v>0</v>
      </c>
      <c r="M100">
        <v>4.3</v>
      </c>
      <c r="N100">
        <v>605775.32999999996</v>
      </c>
      <c r="O100">
        <v>107194.6</v>
      </c>
    </row>
    <row r="101" spans="1:15">
      <c r="A101" t="s">
        <v>46</v>
      </c>
      <c r="B101" s="2">
        <v>45748</v>
      </c>
      <c r="C101" t="s">
        <v>27</v>
      </c>
      <c r="D101">
        <v>0</v>
      </c>
      <c r="E101">
        <v>0</v>
      </c>
      <c r="F101">
        <v>1</v>
      </c>
      <c r="G101" t="s">
        <v>28</v>
      </c>
      <c r="H101">
        <v>0</v>
      </c>
      <c r="I101">
        <v>0</v>
      </c>
      <c r="J101">
        <v>1</v>
      </c>
      <c r="K101">
        <v>2.7</v>
      </c>
      <c r="L101">
        <v>0</v>
      </c>
      <c r="M101">
        <v>4.4000000000000004</v>
      </c>
      <c r="N101">
        <v>675177.68</v>
      </c>
      <c r="O101">
        <v>105628.68</v>
      </c>
    </row>
    <row r="102" spans="1:15">
      <c r="A102" t="s">
        <v>47</v>
      </c>
      <c r="B102" s="2">
        <v>45658</v>
      </c>
      <c r="C102" t="s">
        <v>15</v>
      </c>
      <c r="D102">
        <v>0</v>
      </c>
      <c r="E102">
        <v>0</v>
      </c>
      <c r="F102">
        <v>0</v>
      </c>
      <c r="G102" t="s">
        <v>28</v>
      </c>
      <c r="H102">
        <v>0</v>
      </c>
      <c r="I102">
        <v>0</v>
      </c>
      <c r="J102">
        <v>1</v>
      </c>
      <c r="K102">
        <v>0.2</v>
      </c>
      <c r="L102">
        <v>0</v>
      </c>
      <c r="M102">
        <v>4.4000000000000004</v>
      </c>
      <c r="N102">
        <v>635181.35</v>
      </c>
      <c r="O102">
        <v>83341.25</v>
      </c>
    </row>
    <row r="103" spans="1:15">
      <c r="A103" t="s">
        <v>47</v>
      </c>
      <c r="B103" s="2">
        <v>45689</v>
      </c>
      <c r="C103" t="s">
        <v>15</v>
      </c>
      <c r="D103">
        <v>0</v>
      </c>
      <c r="E103">
        <v>0</v>
      </c>
      <c r="F103">
        <v>0</v>
      </c>
      <c r="G103" t="s">
        <v>28</v>
      </c>
      <c r="H103">
        <v>0</v>
      </c>
      <c r="I103">
        <v>0</v>
      </c>
      <c r="J103">
        <v>1</v>
      </c>
      <c r="K103">
        <v>7.87</v>
      </c>
      <c r="L103">
        <v>0</v>
      </c>
      <c r="M103">
        <v>4.7</v>
      </c>
      <c r="N103">
        <v>586626.93999999994</v>
      </c>
      <c r="O103">
        <v>86498.55</v>
      </c>
    </row>
    <row r="104" spans="1:15">
      <c r="A104" t="s">
        <v>47</v>
      </c>
      <c r="B104" s="2">
        <v>45717</v>
      </c>
      <c r="C104" t="s">
        <v>15</v>
      </c>
      <c r="D104">
        <v>0</v>
      </c>
      <c r="E104">
        <v>0</v>
      </c>
      <c r="F104">
        <v>0</v>
      </c>
      <c r="G104" t="s">
        <v>28</v>
      </c>
      <c r="H104">
        <v>0</v>
      </c>
      <c r="I104">
        <v>0</v>
      </c>
      <c r="J104">
        <v>1</v>
      </c>
      <c r="K104">
        <v>0.77</v>
      </c>
      <c r="L104">
        <v>1</v>
      </c>
      <c r="M104">
        <v>4.4000000000000004</v>
      </c>
      <c r="N104">
        <v>740102.64</v>
      </c>
      <c r="O104">
        <v>114299.07</v>
      </c>
    </row>
    <row r="105" spans="1:15">
      <c r="A105" t="s">
        <v>47</v>
      </c>
      <c r="B105" s="2">
        <v>45748</v>
      </c>
      <c r="C105" t="s">
        <v>15</v>
      </c>
      <c r="D105">
        <v>0</v>
      </c>
      <c r="E105">
        <v>0</v>
      </c>
      <c r="F105">
        <v>0</v>
      </c>
      <c r="G105" t="s">
        <v>28</v>
      </c>
      <c r="H105">
        <v>0</v>
      </c>
      <c r="I105">
        <v>0</v>
      </c>
      <c r="J105">
        <v>1</v>
      </c>
      <c r="K105">
        <v>1.48</v>
      </c>
      <c r="L105">
        <v>0</v>
      </c>
      <c r="M105">
        <v>5</v>
      </c>
      <c r="N105">
        <v>625514.04</v>
      </c>
      <c r="O105">
        <v>120685.08</v>
      </c>
    </row>
    <row r="106" spans="1:15">
      <c r="A106" t="s">
        <v>48</v>
      </c>
      <c r="B106" s="2">
        <v>45658</v>
      </c>
      <c r="C106" t="s">
        <v>27</v>
      </c>
      <c r="D106">
        <v>0</v>
      </c>
      <c r="E106">
        <v>0</v>
      </c>
      <c r="F106">
        <v>1</v>
      </c>
      <c r="G106" t="s">
        <v>18</v>
      </c>
      <c r="H106">
        <v>1</v>
      </c>
      <c r="I106">
        <v>0</v>
      </c>
      <c r="J106">
        <v>0</v>
      </c>
      <c r="K106">
        <v>2.87</v>
      </c>
      <c r="L106">
        <v>0</v>
      </c>
      <c r="M106">
        <v>2.9</v>
      </c>
      <c r="N106">
        <v>727227.2</v>
      </c>
      <c r="O106">
        <v>121292.01</v>
      </c>
    </row>
    <row r="107" spans="1:15">
      <c r="A107" t="s">
        <v>48</v>
      </c>
      <c r="B107" s="2">
        <v>45689</v>
      </c>
      <c r="C107" t="s">
        <v>27</v>
      </c>
      <c r="D107">
        <v>0</v>
      </c>
      <c r="E107">
        <v>0</v>
      </c>
      <c r="F107">
        <v>1</v>
      </c>
      <c r="G107" t="s">
        <v>18</v>
      </c>
      <c r="H107">
        <v>1</v>
      </c>
      <c r="I107">
        <v>0</v>
      </c>
      <c r="J107">
        <v>0</v>
      </c>
      <c r="K107">
        <v>2.83</v>
      </c>
      <c r="L107">
        <v>0</v>
      </c>
      <c r="M107">
        <v>3</v>
      </c>
      <c r="N107">
        <v>783797.89</v>
      </c>
      <c r="O107">
        <v>157620.70000000001</v>
      </c>
    </row>
    <row r="108" spans="1:15">
      <c r="A108" t="s">
        <v>48</v>
      </c>
      <c r="B108" s="2">
        <v>45717</v>
      </c>
      <c r="C108" t="s">
        <v>27</v>
      </c>
      <c r="D108">
        <v>0</v>
      </c>
      <c r="E108">
        <v>0</v>
      </c>
      <c r="F108">
        <v>1</v>
      </c>
      <c r="G108" t="s">
        <v>18</v>
      </c>
      <c r="H108">
        <v>1</v>
      </c>
      <c r="I108">
        <v>0</v>
      </c>
      <c r="J108">
        <v>0</v>
      </c>
      <c r="K108">
        <v>0.25</v>
      </c>
      <c r="L108">
        <v>0</v>
      </c>
      <c r="M108">
        <v>3</v>
      </c>
      <c r="N108">
        <v>795153.84</v>
      </c>
      <c r="O108">
        <v>143194.21</v>
      </c>
    </row>
    <row r="109" spans="1:15">
      <c r="A109" t="s">
        <v>48</v>
      </c>
      <c r="B109" s="2">
        <v>45748</v>
      </c>
      <c r="C109" t="s">
        <v>27</v>
      </c>
      <c r="D109">
        <v>0</v>
      </c>
      <c r="E109">
        <v>0</v>
      </c>
      <c r="F109">
        <v>1</v>
      </c>
      <c r="G109" t="s">
        <v>18</v>
      </c>
      <c r="H109">
        <v>1</v>
      </c>
      <c r="I109">
        <v>0</v>
      </c>
      <c r="J109">
        <v>0</v>
      </c>
      <c r="K109">
        <v>13.33</v>
      </c>
      <c r="L109">
        <v>0</v>
      </c>
      <c r="M109">
        <v>3.2</v>
      </c>
      <c r="N109">
        <v>665594.93999999994</v>
      </c>
      <c r="O109">
        <v>127597.34</v>
      </c>
    </row>
    <row r="110" spans="1:15">
      <c r="A110" t="s">
        <v>49</v>
      </c>
      <c r="B110" s="2">
        <v>45658</v>
      </c>
      <c r="C110" t="s">
        <v>15</v>
      </c>
      <c r="D110">
        <v>0</v>
      </c>
      <c r="E110">
        <v>0</v>
      </c>
      <c r="F110">
        <v>0</v>
      </c>
      <c r="G110" t="s">
        <v>28</v>
      </c>
      <c r="H110">
        <v>0</v>
      </c>
      <c r="I110">
        <v>0</v>
      </c>
      <c r="J110">
        <v>1</v>
      </c>
      <c r="K110">
        <v>6.35</v>
      </c>
      <c r="L110">
        <v>1</v>
      </c>
      <c r="M110">
        <v>3.8</v>
      </c>
      <c r="N110">
        <v>709478.39</v>
      </c>
      <c r="O110">
        <v>71294.27</v>
      </c>
    </row>
    <row r="111" spans="1:15">
      <c r="A111" t="s">
        <v>49</v>
      </c>
      <c r="B111" s="2">
        <v>45689</v>
      </c>
      <c r="C111" t="s">
        <v>15</v>
      </c>
      <c r="D111">
        <v>0</v>
      </c>
      <c r="E111">
        <v>0</v>
      </c>
      <c r="F111">
        <v>0</v>
      </c>
      <c r="G111" t="s">
        <v>28</v>
      </c>
      <c r="H111">
        <v>0</v>
      </c>
      <c r="I111">
        <v>0</v>
      </c>
      <c r="J111">
        <v>1</v>
      </c>
      <c r="K111">
        <v>6.69</v>
      </c>
      <c r="L111">
        <v>0</v>
      </c>
      <c r="M111">
        <v>3.8</v>
      </c>
      <c r="N111">
        <v>664162.49</v>
      </c>
      <c r="O111">
        <v>98291.06</v>
      </c>
    </row>
    <row r="112" spans="1:15">
      <c r="A112" t="s">
        <v>49</v>
      </c>
      <c r="B112" s="2">
        <v>45717</v>
      </c>
      <c r="C112" t="s">
        <v>15</v>
      </c>
      <c r="D112">
        <v>0</v>
      </c>
      <c r="E112">
        <v>0</v>
      </c>
      <c r="F112">
        <v>0</v>
      </c>
      <c r="G112" t="s">
        <v>28</v>
      </c>
      <c r="H112">
        <v>0</v>
      </c>
      <c r="I112">
        <v>0</v>
      </c>
      <c r="J112">
        <v>1</v>
      </c>
      <c r="K112">
        <v>1.28</v>
      </c>
      <c r="L112">
        <v>0</v>
      </c>
      <c r="M112">
        <v>4.2</v>
      </c>
      <c r="N112">
        <v>633494.21</v>
      </c>
      <c r="O112">
        <v>105739.47</v>
      </c>
    </row>
    <row r="113" spans="1:15">
      <c r="A113" t="s">
        <v>49</v>
      </c>
      <c r="B113" s="2">
        <v>45748</v>
      </c>
      <c r="C113" t="s">
        <v>15</v>
      </c>
      <c r="D113">
        <v>0</v>
      </c>
      <c r="E113">
        <v>0</v>
      </c>
      <c r="F113">
        <v>0</v>
      </c>
      <c r="G113" t="s">
        <v>28</v>
      </c>
      <c r="H113">
        <v>0</v>
      </c>
      <c r="I113">
        <v>0</v>
      </c>
      <c r="J113">
        <v>1</v>
      </c>
      <c r="K113">
        <v>0.92</v>
      </c>
      <c r="L113">
        <v>0</v>
      </c>
      <c r="M113">
        <v>3.5</v>
      </c>
      <c r="N113">
        <v>713611.16</v>
      </c>
      <c r="O113">
        <v>129717.18</v>
      </c>
    </row>
    <row r="114" spans="1:15">
      <c r="A114" t="s">
        <v>50</v>
      </c>
      <c r="B114" s="2">
        <v>45658</v>
      </c>
      <c r="C114" t="s">
        <v>27</v>
      </c>
      <c r="D114">
        <v>0</v>
      </c>
      <c r="E114">
        <v>0</v>
      </c>
      <c r="F114">
        <v>1</v>
      </c>
      <c r="G114" t="s">
        <v>28</v>
      </c>
      <c r="H114">
        <v>0</v>
      </c>
      <c r="I114">
        <v>0</v>
      </c>
      <c r="J114">
        <v>1</v>
      </c>
      <c r="K114">
        <v>1.05</v>
      </c>
      <c r="L114">
        <v>0</v>
      </c>
      <c r="M114">
        <v>3.1</v>
      </c>
      <c r="N114">
        <v>778397.97</v>
      </c>
      <c r="O114">
        <v>120044.41</v>
      </c>
    </row>
    <row r="115" spans="1:15">
      <c r="A115" t="s">
        <v>50</v>
      </c>
      <c r="B115" s="2">
        <v>45689</v>
      </c>
      <c r="C115" t="s">
        <v>27</v>
      </c>
      <c r="D115">
        <v>0</v>
      </c>
      <c r="E115">
        <v>0</v>
      </c>
      <c r="F115">
        <v>1</v>
      </c>
      <c r="G115" t="s">
        <v>28</v>
      </c>
      <c r="H115">
        <v>0</v>
      </c>
      <c r="I115">
        <v>0</v>
      </c>
      <c r="J115">
        <v>1</v>
      </c>
      <c r="K115">
        <v>2.67</v>
      </c>
      <c r="L115">
        <v>0</v>
      </c>
      <c r="M115">
        <v>3.5</v>
      </c>
      <c r="N115">
        <v>873380.02</v>
      </c>
      <c r="O115">
        <v>149734.76</v>
      </c>
    </row>
    <row r="116" spans="1:15">
      <c r="A116" t="s">
        <v>50</v>
      </c>
      <c r="B116" s="2">
        <v>45717</v>
      </c>
      <c r="C116" t="s">
        <v>27</v>
      </c>
      <c r="D116">
        <v>0</v>
      </c>
      <c r="E116">
        <v>0</v>
      </c>
      <c r="F116">
        <v>1</v>
      </c>
      <c r="G116" t="s">
        <v>28</v>
      </c>
      <c r="H116">
        <v>0</v>
      </c>
      <c r="I116">
        <v>0</v>
      </c>
      <c r="J116">
        <v>1</v>
      </c>
      <c r="K116">
        <v>5.91</v>
      </c>
      <c r="L116">
        <v>0</v>
      </c>
      <c r="M116">
        <v>2.8</v>
      </c>
      <c r="N116">
        <v>697287.9</v>
      </c>
      <c r="O116">
        <v>128208.33</v>
      </c>
    </row>
    <row r="117" spans="1:15">
      <c r="A117" t="s">
        <v>50</v>
      </c>
      <c r="B117" s="2">
        <v>45748</v>
      </c>
      <c r="C117" t="s">
        <v>27</v>
      </c>
      <c r="D117">
        <v>0</v>
      </c>
      <c r="E117">
        <v>0</v>
      </c>
      <c r="F117">
        <v>1</v>
      </c>
      <c r="G117" t="s">
        <v>28</v>
      </c>
      <c r="H117">
        <v>0</v>
      </c>
      <c r="I117">
        <v>0</v>
      </c>
      <c r="J117">
        <v>1</v>
      </c>
      <c r="K117">
        <v>6.37</v>
      </c>
      <c r="L117">
        <v>0</v>
      </c>
      <c r="M117">
        <v>3.3</v>
      </c>
      <c r="N117">
        <v>718074.79</v>
      </c>
      <c r="O117">
        <v>115819.87</v>
      </c>
    </row>
    <row r="118" spans="1:15">
      <c r="A118" t="s">
        <v>51</v>
      </c>
      <c r="B118" s="2">
        <v>45658</v>
      </c>
      <c r="C118" t="s">
        <v>27</v>
      </c>
      <c r="D118">
        <v>0</v>
      </c>
      <c r="E118">
        <v>0</v>
      </c>
      <c r="F118">
        <v>1</v>
      </c>
      <c r="G118" t="s">
        <v>16</v>
      </c>
      <c r="H118">
        <v>0</v>
      </c>
      <c r="I118">
        <v>0</v>
      </c>
      <c r="J118">
        <v>0</v>
      </c>
      <c r="K118">
        <v>2.4900000000000002</v>
      </c>
      <c r="L118">
        <v>1</v>
      </c>
      <c r="M118">
        <v>4.7</v>
      </c>
      <c r="N118">
        <v>714942.43</v>
      </c>
      <c r="O118">
        <v>94697.71</v>
      </c>
    </row>
    <row r="119" spans="1:15">
      <c r="A119" t="s">
        <v>51</v>
      </c>
      <c r="B119" s="2">
        <v>45689</v>
      </c>
      <c r="C119" t="s">
        <v>27</v>
      </c>
      <c r="D119">
        <v>0</v>
      </c>
      <c r="E119">
        <v>0</v>
      </c>
      <c r="F119">
        <v>1</v>
      </c>
      <c r="G119" t="s">
        <v>16</v>
      </c>
      <c r="H119">
        <v>0</v>
      </c>
      <c r="I119">
        <v>0</v>
      </c>
      <c r="J119">
        <v>0</v>
      </c>
      <c r="K119">
        <v>1.56</v>
      </c>
      <c r="L119">
        <v>0</v>
      </c>
      <c r="M119">
        <v>4.7</v>
      </c>
      <c r="N119">
        <v>820519.04</v>
      </c>
      <c r="O119">
        <v>99035.88</v>
      </c>
    </row>
    <row r="120" spans="1:15">
      <c r="A120" t="s">
        <v>51</v>
      </c>
      <c r="B120" s="2">
        <v>45717</v>
      </c>
      <c r="C120" t="s">
        <v>27</v>
      </c>
      <c r="D120">
        <v>0</v>
      </c>
      <c r="E120">
        <v>0</v>
      </c>
      <c r="F120">
        <v>1</v>
      </c>
      <c r="G120" t="s">
        <v>16</v>
      </c>
      <c r="H120">
        <v>0</v>
      </c>
      <c r="I120">
        <v>0</v>
      </c>
      <c r="J120">
        <v>0</v>
      </c>
      <c r="K120">
        <v>14.95</v>
      </c>
      <c r="L120">
        <v>0</v>
      </c>
      <c r="M120">
        <v>4.5999999999999996</v>
      </c>
      <c r="N120">
        <v>684217.32</v>
      </c>
      <c r="O120">
        <v>136217.19</v>
      </c>
    </row>
    <row r="121" spans="1:15">
      <c r="A121" t="s">
        <v>51</v>
      </c>
      <c r="B121" s="2">
        <v>45748</v>
      </c>
      <c r="C121" t="s">
        <v>27</v>
      </c>
      <c r="D121">
        <v>0</v>
      </c>
      <c r="E121">
        <v>0</v>
      </c>
      <c r="F121">
        <v>1</v>
      </c>
      <c r="G121" t="s">
        <v>16</v>
      </c>
      <c r="H121">
        <v>0</v>
      </c>
      <c r="I121">
        <v>0</v>
      </c>
      <c r="J121">
        <v>0</v>
      </c>
      <c r="K121">
        <v>7.85</v>
      </c>
      <c r="L121">
        <v>0</v>
      </c>
      <c r="M121">
        <v>4.7</v>
      </c>
      <c r="N121">
        <v>735480.19</v>
      </c>
      <c r="O121">
        <v>88342.11</v>
      </c>
    </row>
    <row r="122" spans="1:15">
      <c r="A122" t="s">
        <v>52</v>
      </c>
      <c r="B122" s="2">
        <v>45658</v>
      </c>
      <c r="C122" t="s">
        <v>20</v>
      </c>
      <c r="D122">
        <v>1</v>
      </c>
      <c r="E122">
        <v>0</v>
      </c>
      <c r="F122">
        <v>0</v>
      </c>
      <c r="G122" t="s">
        <v>18</v>
      </c>
      <c r="H122">
        <v>1</v>
      </c>
      <c r="I122">
        <v>0</v>
      </c>
      <c r="J122">
        <v>0</v>
      </c>
      <c r="K122">
        <v>6.8</v>
      </c>
      <c r="L122">
        <v>0</v>
      </c>
      <c r="M122">
        <v>4.4000000000000004</v>
      </c>
      <c r="N122">
        <v>509484.81</v>
      </c>
      <c r="O122">
        <v>85742.36</v>
      </c>
    </row>
    <row r="123" spans="1:15">
      <c r="A123" t="s">
        <v>52</v>
      </c>
      <c r="B123" s="2">
        <v>45689</v>
      </c>
      <c r="C123" t="s">
        <v>20</v>
      </c>
      <c r="D123">
        <v>1</v>
      </c>
      <c r="E123">
        <v>0</v>
      </c>
      <c r="F123">
        <v>0</v>
      </c>
      <c r="G123" t="s">
        <v>18</v>
      </c>
      <c r="H123">
        <v>1</v>
      </c>
      <c r="I123">
        <v>0</v>
      </c>
      <c r="J123">
        <v>0</v>
      </c>
      <c r="K123">
        <v>2.2000000000000002</v>
      </c>
      <c r="L123">
        <v>0</v>
      </c>
      <c r="M123">
        <v>3.7</v>
      </c>
      <c r="N123">
        <v>654317.09</v>
      </c>
      <c r="O123">
        <v>121446.89</v>
      </c>
    </row>
    <row r="124" spans="1:15">
      <c r="A124" t="s">
        <v>52</v>
      </c>
      <c r="B124" s="2">
        <v>45717</v>
      </c>
      <c r="C124" t="s">
        <v>20</v>
      </c>
      <c r="D124">
        <v>1</v>
      </c>
      <c r="E124">
        <v>0</v>
      </c>
      <c r="F124">
        <v>0</v>
      </c>
      <c r="G124" t="s">
        <v>18</v>
      </c>
      <c r="H124">
        <v>1</v>
      </c>
      <c r="I124">
        <v>0</v>
      </c>
      <c r="J124">
        <v>0</v>
      </c>
      <c r="K124">
        <v>1.88</v>
      </c>
      <c r="L124">
        <v>0</v>
      </c>
      <c r="M124">
        <v>3.9</v>
      </c>
      <c r="N124">
        <v>557487.26</v>
      </c>
      <c r="O124">
        <v>76432.19</v>
      </c>
    </row>
    <row r="125" spans="1:15">
      <c r="A125" t="s">
        <v>52</v>
      </c>
      <c r="B125" s="2">
        <v>45748</v>
      </c>
      <c r="C125" t="s">
        <v>20</v>
      </c>
      <c r="D125">
        <v>1</v>
      </c>
      <c r="E125">
        <v>0</v>
      </c>
      <c r="F125">
        <v>0</v>
      </c>
      <c r="G125" t="s">
        <v>18</v>
      </c>
      <c r="H125">
        <v>1</v>
      </c>
      <c r="I125">
        <v>0</v>
      </c>
      <c r="J125">
        <v>0</v>
      </c>
      <c r="K125">
        <v>15.79</v>
      </c>
      <c r="L125">
        <v>0</v>
      </c>
      <c r="M125">
        <v>4.4000000000000004</v>
      </c>
      <c r="N125">
        <v>441275.42</v>
      </c>
      <c r="O125">
        <v>58234.87</v>
      </c>
    </row>
    <row r="126" spans="1:15">
      <c r="A126" t="s">
        <v>53</v>
      </c>
      <c r="B126" s="2">
        <v>45658</v>
      </c>
      <c r="C126" t="s">
        <v>24</v>
      </c>
      <c r="D126">
        <v>0</v>
      </c>
      <c r="E126">
        <v>1</v>
      </c>
      <c r="F126">
        <v>0</v>
      </c>
      <c r="G126" t="s">
        <v>18</v>
      </c>
      <c r="H126">
        <v>1</v>
      </c>
      <c r="I126">
        <v>0</v>
      </c>
      <c r="J126">
        <v>0</v>
      </c>
      <c r="K126">
        <v>2.34</v>
      </c>
      <c r="L126">
        <v>1</v>
      </c>
      <c r="M126">
        <v>4.8</v>
      </c>
      <c r="N126">
        <v>914544.17</v>
      </c>
      <c r="O126">
        <v>79831.73</v>
      </c>
    </row>
    <row r="127" spans="1:15">
      <c r="A127" t="s">
        <v>53</v>
      </c>
      <c r="B127" s="2">
        <v>45689</v>
      </c>
      <c r="C127" t="s">
        <v>24</v>
      </c>
      <c r="D127">
        <v>0</v>
      </c>
      <c r="E127">
        <v>1</v>
      </c>
      <c r="F127">
        <v>0</v>
      </c>
      <c r="G127" t="s">
        <v>18</v>
      </c>
      <c r="H127">
        <v>1</v>
      </c>
      <c r="I127">
        <v>0</v>
      </c>
      <c r="J127">
        <v>0</v>
      </c>
      <c r="K127">
        <v>0.54</v>
      </c>
      <c r="L127">
        <v>0</v>
      </c>
      <c r="M127">
        <v>4.4000000000000004</v>
      </c>
      <c r="N127">
        <v>842439.67</v>
      </c>
      <c r="O127">
        <v>169983.63</v>
      </c>
    </row>
    <row r="128" spans="1:15">
      <c r="A128" t="s">
        <v>53</v>
      </c>
      <c r="B128" s="2">
        <v>45717</v>
      </c>
      <c r="C128" t="s">
        <v>24</v>
      </c>
      <c r="D128">
        <v>0</v>
      </c>
      <c r="E128">
        <v>1</v>
      </c>
      <c r="F128">
        <v>0</v>
      </c>
      <c r="G128" t="s">
        <v>18</v>
      </c>
      <c r="H128">
        <v>1</v>
      </c>
      <c r="I128">
        <v>0</v>
      </c>
      <c r="J128">
        <v>0</v>
      </c>
      <c r="K128">
        <v>5.37</v>
      </c>
      <c r="L128">
        <v>1</v>
      </c>
      <c r="M128">
        <v>4.9000000000000004</v>
      </c>
      <c r="N128">
        <v>842157.92</v>
      </c>
      <c r="O128">
        <v>107348.22</v>
      </c>
    </row>
    <row r="129" spans="1:15">
      <c r="A129" t="s">
        <v>53</v>
      </c>
      <c r="B129" s="2">
        <v>45748</v>
      </c>
      <c r="C129" t="s">
        <v>24</v>
      </c>
      <c r="D129">
        <v>0</v>
      </c>
      <c r="E129">
        <v>1</v>
      </c>
      <c r="F129">
        <v>0</v>
      </c>
      <c r="G129" t="s">
        <v>18</v>
      </c>
      <c r="H129">
        <v>1</v>
      </c>
      <c r="I129">
        <v>0</v>
      </c>
      <c r="J129">
        <v>0</v>
      </c>
      <c r="K129">
        <v>3.19</v>
      </c>
      <c r="L129">
        <v>0</v>
      </c>
      <c r="M129">
        <v>4.8</v>
      </c>
      <c r="N129">
        <v>697155.3</v>
      </c>
      <c r="O129">
        <v>136408.54</v>
      </c>
    </row>
    <row r="130" spans="1:15">
      <c r="A130" t="s">
        <v>54</v>
      </c>
      <c r="B130" s="2">
        <v>45658</v>
      </c>
      <c r="C130" t="s">
        <v>15</v>
      </c>
      <c r="D130">
        <v>0</v>
      </c>
      <c r="E130">
        <v>0</v>
      </c>
      <c r="F130">
        <v>0</v>
      </c>
      <c r="G130" t="s">
        <v>18</v>
      </c>
      <c r="H130">
        <v>1</v>
      </c>
      <c r="I130">
        <v>0</v>
      </c>
      <c r="J130">
        <v>0</v>
      </c>
      <c r="K130">
        <v>1.1000000000000001</v>
      </c>
      <c r="L130">
        <v>1</v>
      </c>
      <c r="M130">
        <v>4.4000000000000004</v>
      </c>
      <c r="N130">
        <v>849018.3</v>
      </c>
      <c r="O130">
        <v>149035.13</v>
      </c>
    </row>
    <row r="131" spans="1:15">
      <c r="A131" t="s">
        <v>54</v>
      </c>
      <c r="B131" s="2">
        <v>45689</v>
      </c>
      <c r="C131" t="s">
        <v>15</v>
      </c>
      <c r="D131">
        <v>0</v>
      </c>
      <c r="E131">
        <v>0</v>
      </c>
      <c r="F131">
        <v>0</v>
      </c>
      <c r="G131" t="s">
        <v>18</v>
      </c>
      <c r="H131">
        <v>1</v>
      </c>
      <c r="I131">
        <v>0</v>
      </c>
      <c r="J131">
        <v>0</v>
      </c>
      <c r="K131">
        <v>0.21</v>
      </c>
      <c r="L131">
        <v>0</v>
      </c>
      <c r="M131">
        <v>4</v>
      </c>
      <c r="N131">
        <v>801830.35</v>
      </c>
      <c r="O131">
        <v>114875.32</v>
      </c>
    </row>
    <row r="132" spans="1:15">
      <c r="A132" t="s">
        <v>54</v>
      </c>
      <c r="B132" s="2">
        <v>45717</v>
      </c>
      <c r="C132" t="s">
        <v>15</v>
      </c>
      <c r="D132">
        <v>0</v>
      </c>
      <c r="E132">
        <v>0</v>
      </c>
      <c r="F132">
        <v>0</v>
      </c>
      <c r="G132" t="s">
        <v>18</v>
      </c>
      <c r="H132">
        <v>1</v>
      </c>
      <c r="I132">
        <v>0</v>
      </c>
      <c r="J132">
        <v>0</v>
      </c>
      <c r="K132">
        <v>5.12</v>
      </c>
      <c r="L132">
        <v>1</v>
      </c>
      <c r="M132">
        <v>4.5</v>
      </c>
      <c r="N132">
        <v>725235.28</v>
      </c>
      <c r="O132">
        <v>121632.24</v>
      </c>
    </row>
    <row r="133" spans="1:15">
      <c r="A133" t="s">
        <v>54</v>
      </c>
      <c r="B133" s="2">
        <v>45748</v>
      </c>
      <c r="C133" t="s">
        <v>15</v>
      </c>
      <c r="D133">
        <v>0</v>
      </c>
      <c r="E133">
        <v>0</v>
      </c>
      <c r="F133">
        <v>0</v>
      </c>
      <c r="G133" t="s">
        <v>18</v>
      </c>
      <c r="H133">
        <v>1</v>
      </c>
      <c r="I133">
        <v>0</v>
      </c>
      <c r="J133">
        <v>0</v>
      </c>
      <c r="K133">
        <v>9.77</v>
      </c>
      <c r="L133">
        <v>0</v>
      </c>
      <c r="M133">
        <v>4.5</v>
      </c>
      <c r="N133">
        <v>811452.72</v>
      </c>
      <c r="O133">
        <v>131325.67000000001</v>
      </c>
    </row>
    <row r="134" spans="1:15">
      <c r="A134" t="s">
        <v>55</v>
      </c>
      <c r="B134" s="2">
        <v>45658</v>
      </c>
      <c r="C134" t="s">
        <v>20</v>
      </c>
      <c r="D134">
        <v>1</v>
      </c>
      <c r="E134">
        <v>0</v>
      </c>
      <c r="F134">
        <v>0</v>
      </c>
      <c r="G134" t="s">
        <v>18</v>
      </c>
      <c r="H134">
        <v>1</v>
      </c>
      <c r="I134">
        <v>0</v>
      </c>
      <c r="J134">
        <v>0</v>
      </c>
      <c r="K134">
        <v>3.77</v>
      </c>
      <c r="L134">
        <v>0</v>
      </c>
      <c r="M134">
        <v>4.4000000000000004</v>
      </c>
      <c r="N134">
        <v>527300.13</v>
      </c>
      <c r="O134">
        <v>84197.87</v>
      </c>
    </row>
    <row r="135" spans="1:15">
      <c r="A135" t="s">
        <v>55</v>
      </c>
      <c r="B135" s="2">
        <v>45689</v>
      </c>
      <c r="C135" t="s">
        <v>20</v>
      </c>
      <c r="D135">
        <v>1</v>
      </c>
      <c r="E135">
        <v>0</v>
      </c>
      <c r="F135">
        <v>0</v>
      </c>
      <c r="G135" t="s">
        <v>18</v>
      </c>
      <c r="H135">
        <v>1</v>
      </c>
      <c r="I135">
        <v>0</v>
      </c>
      <c r="J135">
        <v>0</v>
      </c>
      <c r="K135">
        <v>0.78</v>
      </c>
      <c r="L135">
        <v>0</v>
      </c>
      <c r="N135">
        <v>400831.65</v>
      </c>
      <c r="O135">
        <v>70979.31</v>
      </c>
    </row>
    <row r="136" spans="1:15">
      <c r="A136" t="s">
        <v>55</v>
      </c>
      <c r="B136" s="2">
        <v>45717</v>
      </c>
      <c r="C136" t="s">
        <v>20</v>
      </c>
      <c r="D136">
        <v>1</v>
      </c>
      <c r="E136">
        <v>0</v>
      </c>
      <c r="F136">
        <v>0</v>
      </c>
      <c r="G136" t="s">
        <v>18</v>
      </c>
      <c r="H136">
        <v>1</v>
      </c>
      <c r="I136">
        <v>0</v>
      </c>
      <c r="J136">
        <v>0</v>
      </c>
      <c r="K136">
        <v>5.17</v>
      </c>
      <c r="L136">
        <v>1</v>
      </c>
      <c r="M136">
        <v>4.4000000000000004</v>
      </c>
      <c r="N136">
        <v>593247.25</v>
      </c>
      <c r="O136">
        <v>81240.289999999994</v>
      </c>
    </row>
    <row r="137" spans="1:15">
      <c r="A137" t="s">
        <v>55</v>
      </c>
      <c r="B137" s="2">
        <v>45748</v>
      </c>
      <c r="C137" t="s">
        <v>20</v>
      </c>
      <c r="D137">
        <v>1</v>
      </c>
      <c r="E137">
        <v>0</v>
      </c>
      <c r="F137">
        <v>0</v>
      </c>
      <c r="G137" t="s">
        <v>18</v>
      </c>
      <c r="H137">
        <v>1</v>
      </c>
      <c r="I137">
        <v>0</v>
      </c>
      <c r="J137">
        <v>0</v>
      </c>
      <c r="K137">
        <v>3.2</v>
      </c>
      <c r="L137">
        <v>0</v>
      </c>
      <c r="M137">
        <v>4.5999999999999996</v>
      </c>
      <c r="N137">
        <v>529075.94999999995</v>
      </c>
      <c r="O137">
        <v>95978.83</v>
      </c>
    </row>
    <row r="138" spans="1:15">
      <c r="A138" t="s">
        <v>56</v>
      </c>
      <c r="B138" s="2">
        <v>45658</v>
      </c>
      <c r="C138" t="s">
        <v>24</v>
      </c>
      <c r="D138">
        <v>0</v>
      </c>
      <c r="E138">
        <v>1</v>
      </c>
      <c r="F138">
        <v>0</v>
      </c>
      <c r="G138" t="s">
        <v>16</v>
      </c>
      <c r="H138">
        <v>0</v>
      </c>
      <c r="I138">
        <v>0</v>
      </c>
      <c r="J138">
        <v>0</v>
      </c>
      <c r="K138">
        <v>3.4</v>
      </c>
      <c r="L138">
        <v>0</v>
      </c>
      <c r="N138">
        <v>633638.03</v>
      </c>
      <c r="O138">
        <v>99402.01</v>
      </c>
    </row>
    <row r="139" spans="1:15">
      <c r="A139" t="s">
        <v>56</v>
      </c>
      <c r="B139" s="2">
        <v>45689</v>
      </c>
      <c r="C139" t="s">
        <v>24</v>
      </c>
      <c r="D139">
        <v>0</v>
      </c>
      <c r="E139">
        <v>1</v>
      </c>
      <c r="F139">
        <v>0</v>
      </c>
      <c r="G139" t="s">
        <v>16</v>
      </c>
      <c r="H139">
        <v>0</v>
      </c>
      <c r="I139">
        <v>0</v>
      </c>
      <c r="J139">
        <v>0</v>
      </c>
      <c r="K139">
        <v>7.38</v>
      </c>
      <c r="L139">
        <v>0</v>
      </c>
      <c r="M139">
        <v>3.7</v>
      </c>
      <c r="N139">
        <v>743348.84</v>
      </c>
      <c r="O139">
        <v>104186.09</v>
      </c>
    </row>
    <row r="140" spans="1:15">
      <c r="A140" t="s">
        <v>56</v>
      </c>
      <c r="B140" s="2">
        <v>45717</v>
      </c>
      <c r="C140" t="s">
        <v>24</v>
      </c>
      <c r="D140">
        <v>0</v>
      </c>
      <c r="E140">
        <v>1</v>
      </c>
      <c r="F140">
        <v>0</v>
      </c>
      <c r="G140" t="s">
        <v>16</v>
      </c>
      <c r="H140">
        <v>0</v>
      </c>
      <c r="I140">
        <v>0</v>
      </c>
      <c r="J140">
        <v>0</v>
      </c>
      <c r="K140">
        <v>0.85</v>
      </c>
      <c r="L140">
        <v>1</v>
      </c>
      <c r="M140">
        <v>3.3</v>
      </c>
      <c r="N140">
        <v>758827.64</v>
      </c>
      <c r="O140">
        <v>161439.48000000001</v>
      </c>
    </row>
    <row r="141" spans="1:15">
      <c r="A141" t="s">
        <v>56</v>
      </c>
      <c r="B141" s="2">
        <v>45748</v>
      </c>
      <c r="C141" t="s">
        <v>24</v>
      </c>
      <c r="D141">
        <v>0</v>
      </c>
      <c r="E141">
        <v>1</v>
      </c>
      <c r="F141">
        <v>0</v>
      </c>
      <c r="G141" t="s">
        <v>16</v>
      </c>
      <c r="H141">
        <v>0</v>
      </c>
      <c r="I141">
        <v>0</v>
      </c>
      <c r="J141">
        <v>0</v>
      </c>
      <c r="K141">
        <v>2.89</v>
      </c>
      <c r="L141">
        <v>0</v>
      </c>
      <c r="M141">
        <v>3.6</v>
      </c>
      <c r="N141">
        <v>646559.71</v>
      </c>
      <c r="O141">
        <v>97981.75</v>
      </c>
    </row>
    <row r="142" spans="1:15">
      <c r="A142" t="s">
        <v>57</v>
      </c>
      <c r="B142" s="2">
        <v>45658</v>
      </c>
      <c r="C142" t="s">
        <v>27</v>
      </c>
      <c r="D142">
        <v>0</v>
      </c>
      <c r="E142">
        <v>0</v>
      </c>
      <c r="F142">
        <v>1</v>
      </c>
      <c r="G142" t="s">
        <v>18</v>
      </c>
      <c r="H142">
        <v>1</v>
      </c>
      <c r="I142">
        <v>0</v>
      </c>
      <c r="J142">
        <v>0</v>
      </c>
      <c r="K142">
        <v>0.77</v>
      </c>
      <c r="L142">
        <v>0</v>
      </c>
      <c r="M142">
        <v>4.0999999999999996</v>
      </c>
      <c r="N142">
        <v>715890.53</v>
      </c>
      <c r="O142">
        <v>109032.15</v>
      </c>
    </row>
    <row r="143" spans="1:15">
      <c r="A143" t="s">
        <v>57</v>
      </c>
      <c r="B143" s="2">
        <v>45689</v>
      </c>
      <c r="C143" t="s">
        <v>27</v>
      </c>
      <c r="D143">
        <v>0</v>
      </c>
      <c r="E143">
        <v>0</v>
      </c>
      <c r="F143">
        <v>1</v>
      </c>
      <c r="G143" t="s">
        <v>18</v>
      </c>
      <c r="H143">
        <v>1</v>
      </c>
      <c r="I143">
        <v>0</v>
      </c>
      <c r="J143">
        <v>0</v>
      </c>
      <c r="K143">
        <v>2.92</v>
      </c>
      <c r="L143">
        <v>0</v>
      </c>
      <c r="M143">
        <v>4.2</v>
      </c>
      <c r="N143">
        <v>715097.57</v>
      </c>
      <c r="O143">
        <v>151875.85999999999</v>
      </c>
    </row>
    <row r="144" spans="1:15">
      <c r="A144" t="s">
        <v>57</v>
      </c>
      <c r="B144" s="2">
        <v>45717</v>
      </c>
      <c r="C144" t="s">
        <v>27</v>
      </c>
      <c r="D144">
        <v>0</v>
      </c>
      <c r="E144">
        <v>0</v>
      </c>
      <c r="F144">
        <v>1</v>
      </c>
      <c r="G144" t="s">
        <v>18</v>
      </c>
      <c r="H144">
        <v>1</v>
      </c>
      <c r="I144">
        <v>0</v>
      </c>
      <c r="J144">
        <v>0</v>
      </c>
      <c r="K144">
        <v>3.07</v>
      </c>
      <c r="L144">
        <v>0</v>
      </c>
      <c r="M144">
        <v>3.8</v>
      </c>
      <c r="N144">
        <v>682639.28</v>
      </c>
      <c r="O144">
        <v>77557.53</v>
      </c>
    </row>
    <row r="145" spans="1:15">
      <c r="A145" t="s">
        <v>57</v>
      </c>
      <c r="B145" s="2">
        <v>45748</v>
      </c>
      <c r="C145" t="s">
        <v>27</v>
      </c>
      <c r="D145">
        <v>0</v>
      </c>
      <c r="E145">
        <v>0</v>
      </c>
      <c r="F145">
        <v>1</v>
      </c>
      <c r="G145" t="s">
        <v>18</v>
      </c>
      <c r="H145">
        <v>1</v>
      </c>
      <c r="I145">
        <v>0</v>
      </c>
      <c r="J145">
        <v>0</v>
      </c>
      <c r="K145">
        <v>9.6999999999999993</v>
      </c>
      <c r="L145">
        <v>0</v>
      </c>
      <c r="M145">
        <v>3.9</v>
      </c>
      <c r="N145">
        <v>695098.51</v>
      </c>
      <c r="O145">
        <v>108192.75</v>
      </c>
    </row>
    <row r="146" spans="1:15">
      <c r="A146" t="s">
        <v>58</v>
      </c>
      <c r="B146" s="2">
        <v>45658</v>
      </c>
      <c r="C146" t="s">
        <v>20</v>
      </c>
      <c r="D146">
        <v>1</v>
      </c>
      <c r="E146">
        <v>0</v>
      </c>
      <c r="F146">
        <v>0</v>
      </c>
      <c r="G146" t="s">
        <v>16</v>
      </c>
      <c r="H146">
        <v>0</v>
      </c>
      <c r="I146">
        <v>0</v>
      </c>
      <c r="J146">
        <v>0</v>
      </c>
      <c r="K146">
        <v>3.71</v>
      </c>
      <c r="L146">
        <v>0</v>
      </c>
      <c r="M146">
        <v>3.2</v>
      </c>
      <c r="N146">
        <v>577732.56999999995</v>
      </c>
      <c r="O146">
        <v>93804.27</v>
      </c>
    </row>
    <row r="147" spans="1:15">
      <c r="A147" t="s">
        <v>58</v>
      </c>
      <c r="B147" s="2">
        <v>45689</v>
      </c>
      <c r="C147" t="s">
        <v>20</v>
      </c>
      <c r="D147">
        <v>1</v>
      </c>
      <c r="E147">
        <v>0</v>
      </c>
      <c r="F147">
        <v>0</v>
      </c>
      <c r="G147" t="s">
        <v>16</v>
      </c>
      <c r="H147">
        <v>0</v>
      </c>
      <c r="I147">
        <v>0</v>
      </c>
      <c r="J147">
        <v>0</v>
      </c>
      <c r="K147">
        <v>10.79</v>
      </c>
      <c r="L147">
        <v>0</v>
      </c>
      <c r="M147">
        <v>3.5</v>
      </c>
      <c r="N147">
        <v>537058.32999999996</v>
      </c>
      <c r="O147">
        <v>93555.71</v>
      </c>
    </row>
    <row r="148" spans="1:15">
      <c r="A148" t="s">
        <v>58</v>
      </c>
      <c r="B148" s="2">
        <v>45717</v>
      </c>
      <c r="C148" t="s">
        <v>20</v>
      </c>
      <c r="D148">
        <v>1</v>
      </c>
      <c r="E148">
        <v>0</v>
      </c>
      <c r="F148">
        <v>0</v>
      </c>
      <c r="G148" t="s">
        <v>16</v>
      </c>
      <c r="H148">
        <v>0</v>
      </c>
      <c r="I148">
        <v>0</v>
      </c>
      <c r="J148">
        <v>0</v>
      </c>
      <c r="K148">
        <v>6.03</v>
      </c>
      <c r="L148">
        <v>0</v>
      </c>
      <c r="M148">
        <v>3.4</v>
      </c>
      <c r="N148">
        <v>601568.87</v>
      </c>
      <c r="O148">
        <v>91634.82</v>
      </c>
    </row>
    <row r="149" spans="1:15">
      <c r="A149" t="s">
        <v>58</v>
      </c>
      <c r="B149" s="2">
        <v>45748</v>
      </c>
      <c r="C149" t="s">
        <v>20</v>
      </c>
      <c r="D149">
        <v>1</v>
      </c>
      <c r="E149">
        <v>0</v>
      </c>
      <c r="F149">
        <v>0</v>
      </c>
      <c r="G149" t="s">
        <v>16</v>
      </c>
      <c r="H149">
        <v>0</v>
      </c>
      <c r="I149">
        <v>0</v>
      </c>
      <c r="J149">
        <v>0</v>
      </c>
      <c r="K149">
        <v>4.92</v>
      </c>
      <c r="L149">
        <v>0</v>
      </c>
      <c r="M149">
        <v>3.4</v>
      </c>
      <c r="N149">
        <v>570964.84</v>
      </c>
      <c r="O149">
        <v>81331.070000000007</v>
      </c>
    </row>
    <row r="150" spans="1:15">
      <c r="A150" t="s">
        <v>59</v>
      </c>
      <c r="B150" s="2">
        <v>45658</v>
      </c>
      <c r="C150" t="s">
        <v>24</v>
      </c>
      <c r="D150">
        <v>0</v>
      </c>
      <c r="E150">
        <v>1</v>
      </c>
      <c r="F150">
        <v>0</v>
      </c>
      <c r="G150" t="s">
        <v>28</v>
      </c>
      <c r="H150">
        <v>0</v>
      </c>
      <c r="I150">
        <v>0</v>
      </c>
      <c r="J150">
        <v>1</v>
      </c>
      <c r="K150">
        <v>19.78</v>
      </c>
      <c r="L150">
        <v>0</v>
      </c>
      <c r="M150">
        <v>3.8</v>
      </c>
      <c r="N150">
        <v>614024.91</v>
      </c>
      <c r="O150">
        <v>84828.93</v>
      </c>
    </row>
    <row r="151" spans="1:15">
      <c r="A151" t="s">
        <v>59</v>
      </c>
      <c r="B151" s="2">
        <v>45689</v>
      </c>
      <c r="C151" t="s">
        <v>24</v>
      </c>
      <c r="D151">
        <v>0</v>
      </c>
      <c r="E151">
        <v>1</v>
      </c>
      <c r="F151">
        <v>0</v>
      </c>
      <c r="G151" t="s">
        <v>28</v>
      </c>
      <c r="H151">
        <v>0</v>
      </c>
      <c r="I151">
        <v>0</v>
      </c>
      <c r="J151">
        <v>1</v>
      </c>
      <c r="K151">
        <v>5.45</v>
      </c>
      <c r="L151">
        <v>0</v>
      </c>
      <c r="M151">
        <v>4.0999999999999996</v>
      </c>
      <c r="N151">
        <v>712868.35</v>
      </c>
      <c r="O151">
        <v>133650.51</v>
      </c>
    </row>
    <row r="152" spans="1:15">
      <c r="A152" t="s">
        <v>59</v>
      </c>
      <c r="B152" s="2">
        <v>45717</v>
      </c>
      <c r="C152" t="s">
        <v>24</v>
      </c>
      <c r="D152">
        <v>0</v>
      </c>
      <c r="E152">
        <v>1</v>
      </c>
      <c r="F152">
        <v>0</v>
      </c>
      <c r="G152" t="s">
        <v>28</v>
      </c>
      <c r="H152">
        <v>0</v>
      </c>
      <c r="I152">
        <v>0</v>
      </c>
      <c r="J152">
        <v>1</v>
      </c>
      <c r="K152">
        <v>2.33</v>
      </c>
      <c r="L152">
        <v>1</v>
      </c>
      <c r="M152">
        <v>3.7</v>
      </c>
      <c r="N152">
        <v>696744.15</v>
      </c>
      <c r="O152">
        <v>152230.09</v>
      </c>
    </row>
    <row r="153" spans="1:15">
      <c r="A153" t="s">
        <v>59</v>
      </c>
      <c r="B153" s="2">
        <v>45748</v>
      </c>
      <c r="C153" t="s">
        <v>24</v>
      </c>
      <c r="D153">
        <v>0</v>
      </c>
      <c r="E153">
        <v>1</v>
      </c>
      <c r="F153">
        <v>0</v>
      </c>
      <c r="G153" t="s">
        <v>28</v>
      </c>
      <c r="H153">
        <v>0</v>
      </c>
      <c r="I153">
        <v>0</v>
      </c>
      <c r="J153">
        <v>1</v>
      </c>
      <c r="K153">
        <v>3.55</v>
      </c>
      <c r="L153">
        <v>0</v>
      </c>
      <c r="M153">
        <v>4.0999999999999996</v>
      </c>
      <c r="N153">
        <v>725847.99</v>
      </c>
      <c r="O153">
        <v>122698.73</v>
      </c>
    </row>
    <row r="154" spans="1:15">
      <c r="A154" t="s">
        <v>60</v>
      </c>
      <c r="B154" s="2">
        <v>45658</v>
      </c>
      <c r="C154" t="s">
        <v>15</v>
      </c>
      <c r="D154">
        <v>0</v>
      </c>
      <c r="E154">
        <v>0</v>
      </c>
      <c r="F154">
        <v>0</v>
      </c>
      <c r="G154" t="s">
        <v>18</v>
      </c>
      <c r="H154">
        <v>1</v>
      </c>
      <c r="I154">
        <v>0</v>
      </c>
      <c r="J154">
        <v>0</v>
      </c>
      <c r="K154">
        <v>0.2</v>
      </c>
      <c r="L154">
        <v>0</v>
      </c>
      <c r="M154">
        <v>4.5</v>
      </c>
      <c r="N154">
        <v>785028.25</v>
      </c>
      <c r="O154">
        <v>110726.44</v>
      </c>
    </row>
    <row r="155" spans="1:15">
      <c r="A155" t="s">
        <v>60</v>
      </c>
      <c r="B155" s="2">
        <v>45689</v>
      </c>
      <c r="C155" t="s">
        <v>15</v>
      </c>
      <c r="D155">
        <v>0</v>
      </c>
      <c r="E155">
        <v>0</v>
      </c>
      <c r="F155">
        <v>0</v>
      </c>
      <c r="G155" t="s">
        <v>18</v>
      </c>
      <c r="H155">
        <v>1</v>
      </c>
      <c r="I155">
        <v>0</v>
      </c>
      <c r="J155">
        <v>0</v>
      </c>
      <c r="K155">
        <v>2.09</v>
      </c>
      <c r="L155">
        <v>0</v>
      </c>
      <c r="M155">
        <v>4.2</v>
      </c>
      <c r="N155">
        <v>698492.67</v>
      </c>
      <c r="O155">
        <v>117319.32</v>
      </c>
    </row>
    <row r="156" spans="1:15">
      <c r="A156" t="s">
        <v>60</v>
      </c>
      <c r="B156" s="2">
        <v>45717</v>
      </c>
      <c r="C156" t="s">
        <v>15</v>
      </c>
      <c r="D156">
        <v>0</v>
      </c>
      <c r="E156">
        <v>0</v>
      </c>
      <c r="F156">
        <v>0</v>
      </c>
      <c r="G156" t="s">
        <v>18</v>
      </c>
      <c r="H156">
        <v>1</v>
      </c>
      <c r="I156">
        <v>0</v>
      </c>
      <c r="J156">
        <v>0</v>
      </c>
      <c r="K156">
        <v>2.2599999999999998</v>
      </c>
      <c r="L156">
        <v>0</v>
      </c>
      <c r="M156">
        <v>4.2</v>
      </c>
      <c r="N156">
        <v>685830.24</v>
      </c>
      <c r="O156">
        <v>128736.18</v>
      </c>
    </row>
    <row r="157" spans="1:15">
      <c r="A157" t="s">
        <v>60</v>
      </c>
      <c r="B157" s="2">
        <v>45748</v>
      </c>
      <c r="C157" t="s">
        <v>15</v>
      </c>
      <c r="D157">
        <v>0</v>
      </c>
      <c r="E157">
        <v>0</v>
      </c>
      <c r="F157">
        <v>0</v>
      </c>
      <c r="G157" t="s">
        <v>18</v>
      </c>
      <c r="H157">
        <v>1</v>
      </c>
      <c r="I157">
        <v>0</v>
      </c>
      <c r="J157">
        <v>0</v>
      </c>
      <c r="K157">
        <v>0.44</v>
      </c>
      <c r="L157">
        <v>0</v>
      </c>
      <c r="M157">
        <v>4.4000000000000004</v>
      </c>
      <c r="N157">
        <v>702318.94</v>
      </c>
      <c r="O157">
        <v>112829.29</v>
      </c>
    </row>
    <row r="158" spans="1:15">
      <c r="A158" t="s">
        <v>61</v>
      </c>
      <c r="B158" s="2">
        <v>45658</v>
      </c>
      <c r="C158" t="s">
        <v>20</v>
      </c>
      <c r="D158">
        <v>1</v>
      </c>
      <c r="E158">
        <v>0</v>
      </c>
      <c r="F158">
        <v>0</v>
      </c>
      <c r="G158" t="s">
        <v>28</v>
      </c>
      <c r="H158">
        <v>0</v>
      </c>
      <c r="I158">
        <v>0</v>
      </c>
      <c r="J158">
        <v>1</v>
      </c>
      <c r="K158">
        <v>3.08</v>
      </c>
      <c r="L158">
        <v>0</v>
      </c>
      <c r="M158">
        <v>3.9</v>
      </c>
      <c r="N158">
        <v>700078.32</v>
      </c>
      <c r="O158">
        <v>123707.58</v>
      </c>
    </row>
    <row r="159" spans="1:15">
      <c r="A159" t="s">
        <v>61</v>
      </c>
      <c r="B159" s="2">
        <v>45689</v>
      </c>
      <c r="C159" t="s">
        <v>20</v>
      </c>
      <c r="D159">
        <v>1</v>
      </c>
      <c r="E159">
        <v>0</v>
      </c>
      <c r="F159">
        <v>0</v>
      </c>
      <c r="G159" t="s">
        <v>28</v>
      </c>
      <c r="H159">
        <v>0</v>
      </c>
      <c r="I159">
        <v>0</v>
      </c>
      <c r="J159">
        <v>1</v>
      </c>
      <c r="K159">
        <v>7.99</v>
      </c>
      <c r="L159">
        <v>0</v>
      </c>
      <c r="M159">
        <v>3</v>
      </c>
      <c r="N159">
        <v>602002.31999999995</v>
      </c>
      <c r="O159">
        <v>110453.28</v>
      </c>
    </row>
    <row r="160" spans="1:15">
      <c r="A160" t="s">
        <v>61</v>
      </c>
      <c r="B160" s="2">
        <v>45717</v>
      </c>
      <c r="C160" t="s">
        <v>20</v>
      </c>
      <c r="D160">
        <v>1</v>
      </c>
      <c r="E160">
        <v>0</v>
      </c>
      <c r="F160">
        <v>0</v>
      </c>
      <c r="G160" t="s">
        <v>28</v>
      </c>
      <c r="H160">
        <v>0</v>
      </c>
      <c r="I160">
        <v>0</v>
      </c>
      <c r="J160">
        <v>1</v>
      </c>
      <c r="K160">
        <v>0.2</v>
      </c>
      <c r="L160">
        <v>0</v>
      </c>
      <c r="M160">
        <v>3.4</v>
      </c>
      <c r="N160">
        <v>724216.07</v>
      </c>
      <c r="O160">
        <v>100627.56</v>
      </c>
    </row>
    <row r="161" spans="1:15">
      <c r="A161" t="s">
        <v>61</v>
      </c>
      <c r="B161" s="2">
        <v>45748</v>
      </c>
      <c r="C161" t="s">
        <v>20</v>
      </c>
      <c r="D161">
        <v>1</v>
      </c>
      <c r="E161">
        <v>0</v>
      </c>
      <c r="F161">
        <v>0</v>
      </c>
      <c r="G161" t="s">
        <v>28</v>
      </c>
      <c r="H161">
        <v>0</v>
      </c>
      <c r="I161">
        <v>0</v>
      </c>
      <c r="J161">
        <v>1</v>
      </c>
      <c r="K161">
        <v>5.46</v>
      </c>
      <c r="L161">
        <v>0</v>
      </c>
      <c r="M161">
        <v>3.3</v>
      </c>
      <c r="N161">
        <v>620973.03</v>
      </c>
      <c r="O161">
        <v>72303.850000000006</v>
      </c>
    </row>
    <row r="162" spans="1:15">
      <c r="A162" t="s">
        <v>62</v>
      </c>
      <c r="B162" s="2">
        <v>45658</v>
      </c>
      <c r="C162" t="s">
        <v>24</v>
      </c>
      <c r="D162">
        <v>0</v>
      </c>
      <c r="E162">
        <v>1</v>
      </c>
      <c r="F162">
        <v>0</v>
      </c>
      <c r="G162" t="s">
        <v>18</v>
      </c>
      <c r="H162">
        <v>1</v>
      </c>
      <c r="I162">
        <v>0</v>
      </c>
      <c r="J162">
        <v>0</v>
      </c>
      <c r="K162">
        <v>4.05</v>
      </c>
      <c r="L162">
        <v>0</v>
      </c>
      <c r="M162">
        <v>4</v>
      </c>
      <c r="N162">
        <v>650480.06000000006</v>
      </c>
      <c r="O162">
        <v>109012.07</v>
      </c>
    </row>
    <row r="163" spans="1:15">
      <c r="A163" t="s">
        <v>62</v>
      </c>
      <c r="B163" s="2">
        <v>45689</v>
      </c>
      <c r="C163" t="s">
        <v>24</v>
      </c>
      <c r="D163">
        <v>0</v>
      </c>
      <c r="E163">
        <v>1</v>
      </c>
      <c r="F163">
        <v>0</v>
      </c>
      <c r="G163" t="s">
        <v>18</v>
      </c>
      <c r="H163">
        <v>1</v>
      </c>
      <c r="I163">
        <v>0</v>
      </c>
      <c r="J163">
        <v>0</v>
      </c>
      <c r="K163">
        <v>4.3600000000000003</v>
      </c>
      <c r="L163">
        <v>0</v>
      </c>
      <c r="M163">
        <v>4.2</v>
      </c>
      <c r="N163">
        <v>778298.88</v>
      </c>
      <c r="O163">
        <v>130076.72</v>
      </c>
    </row>
    <row r="164" spans="1:15">
      <c r="A164" t="s">
        <v>62</v>
      </c>
      <c r="B164" s="2">
        <v>45717</v>
      </c>
      <c r="C164" t="s">
        <v>24</v>
      </c>
      <c r="D164">
        <v>0</v>
      </c>
      <c r="E164">
        <v>1</v>
      </c>
      <c r="F164">
        <v>0</v>
      </c>
      <c r="G164" t="s">
        <v>18</v>
      </c>
      <c r="H164">
        <v>1</v>
      </c>
      <c r="I164">
        <v>0</v>
      </c>
      <c r="J164">
        <v>0</v>
      </c>
      <c r="L164">
        <v>0</v>
      </c>
      <c r="M164">
        <v>4.2</v>
      </c>
      <c r="N164">
        <v>677096.71</v>
      </c>
      <c r="O164">
        <v>97174.11</v>
      </c>
    </row>
    <row r="165" spans="1:15">
      <c r="A165" t="s">
        <v>62</v>
      </c>
      <c r="B165" s="2">
        <v>45748</v>
      </c>
      <c r="C165" t="s">
        <v>24</v>
      </c>
      <c r="D165">
        <v>0</v>
      </c>
      <c r="E165">
        <v>1</v>
      </c>
      <c r="F165">
        <v>0</v>
      </c>
      <c r="G165" t="s">
        <v>18</v>
      </c>
      <c r="H165">
        <v>1</v>
      </c>
      <c r="I165">
        <v>0</v>
      </c>
      <c r="J165">
        <v>0</v>
      </c>
      <c r="K165">
        <v>0.54</v>
      </c>
      <c r="L165">
        <v>0</v>
      </c>
      <c r="M165">
        <v>4.3</v>
      </c>
      <c r="N165">
        <v>692008.64</v>
      </c>
      <c r="O165">
        <v>116337.87</v>
      </c>
    </row>
    <row r="166" spans="1:15">
      <c r="A166" t="s">
        <v>63</v>
      </c>
      <c r="B166" s="2">
        <v>45658</v>
      </c>
      <c r="C166" t="s">
        <v>20</v>
      </c>
      <c r="D166">
        <v>1</v>
      </c>
      <c r="E166">
        <v>0</v>
      </c>
      <c r="F166">
        <v>0</v>
      </c>
      <c r="G166" t="s">
        <v>28</v>
      </c>
      <c r="H166">
        <v>0</v>
      </c>
      <c r="I166">
        <v>0</v>
      </c>
      <c r="J166">
        <v>1</v>
      </c>
      <c r="K166">
        <v>11.37</v>
      </c>
      <c r="L166">
        <v>1</v>
      </c>
      <c r="M166">
        <v>4.3</v>
      </c>
      <c r="N166">
        <v>825797.91</v>
      </c>
      <c r="O166">
        <v>130945.24</v>
      </c>
    </row>
    <row r="167" spans="1:15">
      <c r="A167" t="s">
        <v>63</v>
      </c>
      <c r="B167" s="2">
        <v>45689</v>
      </c>
      <c r="C167" t="s">
        <v>20</v>
      </c>
      <c r="D167">
        <v>1</v>
      </c>
      <c r="E167">
        <v>0</v>
      </c>
      <c r="F167">
        <v>0</v>
      </c>
      <c r="G167" t="s">
        <v>28</v>
      </c>
      <c r="H167">
        <v>0</v>
      </c>
      <c r="I167">
        <v>0</v>
      </c>
      <c r="J167">
        <v>1</v>
      </c>
      <c r="K167">
        <v>9.43</v>
      </c>
      <c r="L167">
        <v>0</v>
      </c>
      <c r="M167">
        <v>4.2</v>
      </c>
      <c r="N167">
        <v>706285.52</v>
      </c>
      <c r="O167">
        <v>138014.72</v>
      </c>
    </row>
    <row r="168" spans="1:15">
      <c r="A168" t="s">
        <v>63</v>
      </c>
      <c r="B168" s="2">
        <v>45717</v>
      </c>
      <c r="C168" t="s">
        <v>20</v>
      </c>
      <c r="D168">
        <v>1</v>
      </c>
      <c r="E168">
        <v>0</v>
      </c>
      <c r="F168">
        <v>0</v>
      </c>
      <c r="G168" t="s">
        <v>28</v>
      </c>
      <c r="H168">
        <v>0</v>
      </c>
      <c r="I168">
        <v>0</v>
      </c>
      <c r="J168">
        <v>1</v>
      </c>
      <c r="K168">
        <v>3.49</v>
      </c>
      <c r="L168">
        <v>0</v>
      </c>
      <c r="M168">
        <v>4</v>
      </c>
      <c r="N168">
        <v>665534.69999999995</v>
      </c>
      <c r="O168">
        <v>113167.73</v>
      </c>
    </row>
    <row r="169" spans="1:15">
      <c r="A169" t="s">
        <v>63</v>
      </c>
      <c r="B169" s="2">
        <v>45748</v>
      </c>
      <c r="C169" t="s">
        <v>20</v>
      </c>
      <c r="D169">
        <v>1</v>
      </c>
      <c r="E169">
        <v>0</v>
      </c>
      <c r="F169">
        <v>0</v>
      </c>
      <c r="G169" t="s">
        <v>28</v>
      </c>
      <c r="H169">
        <v>0</v>
      </c>
      <c r="I169">
        <v>0</v>
      </c>
      <c r="J169">
        <v>1</v>
      </c>
      <c r="K169">
        <v>7.86</v>
      </c>
      <c r="L169">
        <v>0</v>
      </c>
      <c r="M169">
        <v>4.0999999999999996</v>
      </c>
      <c r="N169">
        <v>820729.29</v>
      </c>
      <c r="O169">
        <v>159325.47</v>
      </c>
    </row>
    <row r="170" spans="1:15">
      <c r="A170" t="s">
        <v>64</v>
      </c>
      <c r="B170" s="2">
        <v>45658</v>
      </c>
      <c r="C170" t="s">
        <v>15</v>
      </c>
      <c r="D170">
        <v>0</v>
      </c>
      <c r="E170">
        <v>0</v>
      </c>
      <c r="F170">
        <v>0</v>
      </c>
      <c r="G170" t="s">
        <v>16</v>
      </c>
      <c r="H170">
        <v>0</v>
      </c>
      <c r="I170">
        <v>0</v>
      </c>
      <c r="J170">
        <v>0</v>
      </c>
      <c r="K170">
        <v>12.55</v>
      </c>
      <c r="L170">
        <v>0</v>
      </c>
      <c r="M170">
        <v>4.9000000000000004</v>
      </c>
      <c r="N170">
        <v>739831.73</v>
      </c>
      <c r="O170">
        <v>119490.21</v>
      </c>
    </row>
    <row r="171" spans="1:15">
      <c r="A171" t="s">
        <v>64</v>
      </c>
      <c r="B171" s="2">
        <v>45689</v>
      </c>
      <c r="C171" t="s">
        <v>15</v>
      </c>
      <c r="D171">
        <v>0</v>
      </c>
      <c r="E171">
        <v>0</v>
      </c>
      <c r="F171">
        <v>0</v>
      </c>
      <c r="G171" t="s">
        <v>16</v>
      </c>
      <c r="H171">
        <v>0</v>
      </c>
      <c r="I171">
        <v>0</v>
      </c>
      <c r="J171">
        <v>0</v>
      </c>
      <c r="K171">
        <v>3.48</v>
      </c>
      <c r="L171">
        <v>0</v>
      </c>
      <c r="M171">
        <v>5</v>
      </c>
      <c r="N171">
        <v>593637.14</v>
      </c>
      <c r="O171">
        <v>106648.14</v>
      </c>
    </row>
    <row r="172" spans="1:15">
      <c r="A172" t="s">
        <v>64</v>
      </c>
      <c r="B172" s="2">
        <v>45717</v>
      </c>
      <c r="C172" t="s">
        <v>15</v>
      </c>
      <c r="D172">
        <v>0</v>
      </c>
      <c r="E172">
        <v>0</v>
      </c>
      <c r="F172">
        <v>0</v>
      </c>
      <c r="G172" t="s">
        <v>16</v>
      </c>
      <c r="H172">
        <v>0</v>
      </c>
      <c r="I172">
        <v>0</v>
      </c>
      <c r="J172">
        <v>0</v>
      </c>
      <c r="K172">
        <v>7.73</v>
      </c>
      <c r="L172">
        <v>0</v>
      </c>
      <c r="M172">
        <v>4.9000000000000004</v>
      </c>
      <c r="N172">
        <v>769702.76</v>
      </c>
      <c r="O172">
        <v>158697</v>
      </c>
    </row>
    <row r="173" spans="1:15">
      <c r="A173" t="s">
        <v>64</v>
      </c>
      <c r="B173" s="2">
        <v>45748</v>
      </c>
      <c r="C173" t="s">
        <v>15</v>
      </c>
      <c r="D173">
        <v>0</v>
      </c>
      <c r="E173">
        <v>0</v>
      </c>
      <c r="F173">
        <v>0</v>
      </c>
      <c r="G173" t="s">
        <v>16</v>
      </c>
      <c r="H173">
        <v>0</v>
      </c>
      <c r="I173">
        <v>0</v>
      </c>
      <c r="J173">
        <v>0</v>
      </c>
      <c r="K173">
        <v>0.25</v>
      </c>
      <c r="L173">
        <v>0</v>
      </c>
      <c r="M173">
        <v>4.4000000000000004</v>
      </c>
      <c r="N173">
        <v>679731.57</v>
      </c>
      <c r="O173">
        <v>121546.42</v>
      </c>
    </row>
    <row r="174" spans="1:15">
      <c r="A174" t="s">
        <v>65</v>
      </c>
      <c r="B174" s="2">
        <v>45658</v>
      </c>
      <c r="C174" t="s">
        <v>15</v>
      </c>
      <c r="D174">
        <v>0</v>
      </c>
      <c r="E174">
        <v>0</v>
      </c>
      <c r="F174">
        <v>0</v>
      </c>
      <c r="G174" t="s">
        <v>16</v>
      </c>
      <c r="H174">
        <v>0</v>
      </c>
      <c r="I174">
        <v>0</v>
      </c>
      <c r="J174">
        <v>0</v>
      </c>
      <c r="K174">
        <v>6.43</v>
      </c>
      <c r="L174">
        <v>0</v>
      </c>
      <c r="M174">
        <v>3.3</v>
      </c>
      <c r="N174">
        <v>780344.18</v>
      </c>
      <c r="O174">
        <v>118239.09</v>
      </c>
    </row>
    <row r="175" spans="1:15">
      <c r="A175" t="s">
        <v>65</v>
      </c>
      <c r="B175" s="2">
        <v>45689</v>
      </c>
      <c r="C175" t="s">
        <v>15</v>
      </c>
      <c r="D175">
        <v>0</v>
      </c>
      <c r="E175">
        <v>0</v>
      </c>
      <c r="F175">
        <v>0</v>
      </c>
      <c r="G175" t="s">
        <v>16</v>
      </c>
      <c r="H175">
        <v>0</v>
      </c>
      <c r="I175">
        <v>0</v>
      </c>
      <c r="J175">
        <v>0</v>
      </c>
      <c r="K175">
        <v>2.11</v>
      </c>
      <c r="L175">
        <v>0</v>
      </c>
      <c r="M175">
        <v>3.1</v>
      </c>
      <c r="N175">
        <v>721364.11</v>
      </c>
      <c r="O175">
        <v>147272.81</v>
      </c>
    </row>
    <row r="176" spans="1:15">
      <c r="A176" t="s">
        <v>65</v>
      </c>
      <c r="B176" s="2">
        <v>45717</v>
      </c>
      <c r="C176" t="s">
        <v>15</v>
      </c>
      <c r="D176">
        <v>0</v>
      </c>
      <c r="E176">
        <v>0</v>
      </c>
      <c r="F176">
        <v>0</v>
      </c>
      <c r="G176" t="s">
        <v>16</v>
      </c>
      <c r="H176">
        <v>0</v>
      </c>
      <c r="I176">
        <v>0</v>
      </c>
      <c r="J176">
        <v>0</v>
      </c>
      <c r="K176">
        <v>9.1199999999999992</v>
      </c>
      <c r="L176">
        <v>0</v>
      </c>
      <c r="M176">
        <v>3.6</v>
      </c>
      <c r="N176">
        <v>758138.29</v>
      </c>
      <c r="O176">
        <v>132975.26</v>
      </c>
    </row>
    <row r="177" spans="1:15">
      <c r="A177" t="s">
        <v>65</v>
      </c>
      <c r="B177" s="2">
        <v>45748</v>
      </c>
      <c r="C177" t="s">
        <v>15</v>
      </c>
      <c r="D177">
        <v>0</v>
      </c>
      <c r="E177">
        <v>0</v>
      </c>
      <c r="F177">
        <v>0</v>
      </c>
      <c r="G177" t="s">
        <v>16</v>
      </c>
      <c r="H177">
        <v>0</v>
      </c>
      <c r="I177">
        <v>0</v>
      </c>
      <c r="J177">
        <v>0</v>
      </c>
      <c r="K177">
        <v>2.71</v>
      </c>
      <c r="L177">
        <v>0</v>
      </c>
      <c r="M177">
        <v>3.1</v>
      </c>
      <c r="N177">
        <v>804264</v>
      </c>
      <c r="O177">
        <v>167117.91</v>
      </c>
    </row>
    <row r="178" spans="1:15">
      <c r="A178" t="s">
        <v>66</v>
      </c>
      <c r="B178" s="2">
        <v>45658</v>
      </c>
      <c r="C178" t="s">
        <v>27</v>
      </c>
      <c r="D178">
        <v>0</v>
      </c>
      <c r="E178">
        <v>0</v>
      </c>
      <c r="F178">
        <v>1</v>
      </c>
      <c r="G178" t="s">
        <v>21</v>
      </c>
      <c r="H178">
        <v>0</v>
      </c>
      <c r="I178">
        <v>1</v>
      </c>
      <c r="J178">
        <v>0</v>
      </c>
      <c r="K178">
        <v>3.65</v>
      </c>
      <c r="L178">
        <v>1</v>
      </c>
      <c r="M178">
        <v>3.7</v>
      </c>
      <c r="N178">
        <v>887537.75</v>
      </c>
      <c r="O178">
        <v>160362.92000000001</v>
      </c>
    </row>
    <row r="179" spans="1:15">
      <c r="A179" t="s">
        <v>66</v>
      </c>
      <c r="B179" s="2">
        <v>45689</v>
      </c>
      <c r="C179" t="s">
        <v>27</v>
      </c>
      <c r="D179">
        <v>0</v>
      </c>
      <c r="E179">
        <v>0</v>
      </c>
      <c r="F179">
        <v>1</v>
      </c>
      <c r="G179" t="s">
        <v>21</v>
      </c>
      <c r="H179">
        <v>0</v>
      </c>
      <c r="I179">
        <v>1</v>
      </c>
      <c r="J179">
        <v>0</v>
      </c>
      <c r="K179">
        <v>7.86</v>
      </c>
      <c r="L179">
        <v>0</v>
      </c>
      <c r="M179">
        <v>4</v>
      </c>
      <c r="N179">
        <v>783582</v>
      </c>
      <c r="O179">
        <v>130670.93</v>
      </c>
    </row>
    <row r="180" spans="1:15">
      <c r="A180" t="s">
        <v>66</v>
      </c>
      <c r="B180" s="2">
        <v>45717</v>
      </c>
      <c r="C180" t="s">
        <v>27</v>
      </c>
      <c r="D180">
        <v>0</v>
      </c>
      <c r="E180">
        <v>0</v>
      </c>
      <c r="F180">
        <v>1</v>
      </c>
      <c r="G180" t="s">
        <v>21</v>
      </c>
      <c r="H180">
        <v>0</v>
      </c>
      <c r="I180">
        <v>1</v>
      </c>
      <c r="J180">
        <v>0</v>
      </c>
      <c r="K180">
        <v>0.3</v>
      </c>
      <c r="L180">
        <v>0</v>
      </c>
      <c r="M180">
        <v>4.0999999999999996</v>
      </c>
      <c r="N180">
        <v>781955.52</v>
      </c>
      <c r="O180">
        <v>152578.71</v>
      </c>
    </row>
    <row r="181" spans="1:15">
      <c r="A181" t="s">
        <v>66</v>
      </c>
      <c r="B181" s="2">
        <v>45748</v>
      </c>
      <c r="C181" t="s">
        <v>27</v>
      </c>
      <c r="D181">
        <v>0</v>
      </c>
      <c r="E181">
        <v>0</v>
      </c>
      <c r="F181">
        <v>1</v>
      </c>
      <c r="G181" t="s">
        <v>21</v>
      </c>
      <c r="H181">
        <v>0</v>
      </c>
      <c r="I181">
        <v>1</v>
      </c>
      <c r="J181">
        <v>0</v>
      </c>
      <c r="K181">
        <v>8.44</v>
      </c>
      <c r="L181">
        <v>0</v>
      </c>
      <c r="M181">
        <v>4.0999999999999996</v>
      </c>
      <c r="N181">
        <v>898031.04</v>
      </c>
      <c r="O181">
        <v>138666.5</v>
      </c>
    </row>
    <row r="182" spans="1:15">
      <c r="A182" t="s">
        <v>67</v>
      </c>
      <c r="B182" s="2">
        <v>45658</v>
      </c>
      <c r="C182" t="s">
        <v>27</v>
      </c>
      <c r="D182">
        <v>0</v>
      </c>
      <c r="E182">
        <v>0</v>
      </c>
      <c r="F182">
        <v>1</v>
      </c>
      <c r="G182" t="s">
        <v>16</v>
      </c>
      <c r="H182">
        <v>0</v>
      </c>
      <c r="I182">
        <v>0</v>
      </c>
      <c r="J182">
        <v>0</v>
      </c>
      <c r="K182">
        <v>5.27</v>
      </c>
      <c r="L182">
        <v>1</v>
      </c>
      <c r="M182">
        <v>3.9</v>
      </c>
      <c r="N182">
        <v>855341.28</v>
      </c>
      <c r="O182">
        <v>175823.8</v>
      </c>
    </row>
    <row r="183" spans="1:15">
      <c r="A183" t="s">
        <v>67</v>
      </c>
      <c r="B183" s="2">
        <v>45689</v>
      </c>
      <c r="C183" t="s">
        <v>27</v>
      </c>
      <c r="D183">
        <v>0</v>
      </c>
      <c r="E183">
        <v>0</v>
      </c>
      <c r="F183">
        <v>1</v>
      </c>
      <c r="G183" t="s">
        <v>16</v>
      </c>
      <c r="H183">
        <v>0</v>
      </c>
      <c r="I183">
        <v>0</v>
      </c>
      <c r="J183">
        <v>0</v>
      </c>
      <c r="K183">
        <v>13.22</v>
      </c>
      <c r="L183">
        <v>0</v>
      </c>
      <c r="M183">
        <v>3.6</v>
      </c>
      <c r="N183">
        <v>751393.88</v>
      </c>
      <c r="O183">
        <v>91480.320000000007</v>
      </c>
    </row>
    <row r="184" spans="1:15">
      <c r="A184" t="s">
        <v>67</v>
      </c>
      <c r="B184" s="2">
        <v>45717</v>
      </c>
      <c r="C184" t="s">
        <v>27</v>
      </c>
      <c r="D184">
        <v>0</v>
      </c>
      <c r="E184">
        <v>0</v>
      </c>
      <c r="F184">
        <v>1</v>
      </c>
      <c r="G184" t="s">
        <v>16</v>
      </c>
      <c r="H184">
        <v>0</v>
      </c>
      <c r="I184">
        <v>0</v>
      </c>
      <c r="J184">
        <v>0</v>
      </c>
      <c r="K184">
        <v>1.02</v>
      </c>
      <c r="L184">
        <v>1</v>
      </c>
      <c r="M184">
        <v>3.8</v>
      </c>
      <c r="N184">
        <v>761077.08</v>
      </c>
      <c r="O184">
        <v>113605.93</v>
      </c>
    </row>
    <row r="185" spans="1:15">
      <c r="A185" t="s">
        <v>67</v>
      </c>
      <c r="B185" s="2">
        <v>45748</v>
      </c>
      <c r="C185" t="s">
        <v>27</v>
      </c>
      <c r="D185">
        <v>0</v>
      </c>
      <c r="E185">
        <v>0</v>
      </c>
      <c r="F185">
        <v>1</v>
      </c>
      <c r="G185" t="s">
        <v>16</v>
      </c>
      <c r="H185">
        <v>0</v>
      </c>
      <c r="I185">
        <v>0</v>
      </c>
      <c r="J185">
        <v>0</v>
      </c>
      <c r="K185">
        <v>4.03</v>
      </c>
      <c r="L185">
        <v>0</v>
      </c>
      <c r="M185">
        <v>3.1</v>
      </c>
      <c r="N185">
        <v>819660.59</v>
      </c>
      <c r="O185">
        <v>172699.95</v>
      </c>
    </row>
    <row r="186" spans="1:15">
      <c r="A186" t="s">
        <v>68</v>
      </c>
      <c r="B186" s="2">
        <v>45658</v>
      </c>
      <c r="C186" t="s">
        <v>20</v>
      </c>
      <c r="D186">
        <v>1</v>
      </c>
      <c r="E186">
        <v>0</v>
      </c>
      <c r="F186">
        <v>0</v>
      </c>
      <c r="G186" t="s">
        <v>18</v>
      </c>
      <c r="H186">
        <v>1</v>
      </c>
      <c r="I186">
        <v>0</v>
      </c>
      <c r="J186">
        <v>0</v>
      </c>
      <c r="K186">
        <v>2.34</v>
      </c>
      <c r="L186">
        <v>0</v>
      </c>
      <c r="M186">
        <v>4.4000000000000004</v>
      </c>
      <c r="N186">
        <v>681855.56</v>
      </c>
      <c r="O186">
        <v>117645.61</v>
      </c>
    </row>
    <row r="187" spans="1:15">
      <c r="A187" t="s">
        <v>68</v>
      </c>
      <c r="B187" s="2">
        <v>45689</v>
      </c>
      <c r="C187" t="s">
        <v>20</v>
      </c>
      <c r="D187">
        <v>1</v>
      </c>
      <c r="E187">
        <v>0</v>
      </c>
      <c r="F187">
        <v>0</v>
      </c>
      <c r="G187" t="s">
        <v>18</v>
      </c>
      <c r="H187">
        <v>1</v>
      </c>
      <c r="I187">
        <v>0</v>
      </c>
      <c r="J187">
        <v>0</v>
      </c>
      <c r="K187">
        <v>8.51</v>
      </c>
      <c r="L187">
        <v>0</v>
      </c>
      <c r="M187">
        <v>4.4000000000000004</v>
      </c>
      <c r="N187">
        <v>678311.17</v>
      </c>
      <c r="O187">
        <v>132029.76000000001</v>
      </c>
    </row>
    <row r="188" spans="1:15">
      <c r="A188" t="s">
        <v>68</v>
      </c>
      <c r="B188" s="2">
        <v>45717</v>
      </c>
      <c r="C188" t="s">
        <v>20</v>
      </c>
      <c r="D188">
        <v>1</v>
      </c>
      <c r="E188">
        <v>0</v>
      </c>
      <c r="F188">
        <v>0</v>
      </c>
      <c r="G188" t="s">
        <v>18</v>
      </c>
      <c r="H188">
        <v>1</v>
      </c>
      <c r="I188">
        <v>0</v>
      </c>
      <c r="J188">
        <v>0</v>
      </c>
      <c r="K188">
        <v>0.48</v>
      </c>
      <c r="L188">
        <v>1</v>
      </c>
      <c r="M188">
        <v>4.3</v>
      </c>
      <c r="N188">
        <v>765906.95</v>
      </c>
      <c r="O188">
        <v>114005.9</v>
      </c>
    </row>
    <row r="189" spans="1:15">
      <c r="A189" t="s">
        <v>68</v>
      </c>
      <c r="B189" s="2">
        <v>45748</v>
      </c>
      <c r="C189" t="s">
        <v>20</v>
      </c>
      <c r="D189">
        <v>1</v>
      </c>
      <c r="E189">
        <v>0</v>
      </c>
      <c r="F189">
        <v>0</v>
      </c>
      <c r="G189" t="s">
        <v>18</v>
      </c>
      <c r="H189">
        <v>1</v>
      </c>
      <c r="I189">
        <v>0</v>
      </c>
      <c r="J189">
        <v>0</v>
      </c>
      <c r="K189">
        <v>13.62</v>
      </c>
      <c r="L189">
        <v>0</v>
      </c>
      <c r="M189">
        <v>4.2</v>
      </c>
      <c r="N189">
        <v>712546.38</v>
      </c>
      <c r="O189">
        <v>101480.04</v>
      </c>
    </row>
    <row r="190" spans="1:15">
      <c r="A190" t="s">
        <v>69</v>
      </c>
      <c r="B190" s="2">
        <v>45658</v>
      </c>
      <c r="C190" t="s">
        <v>15</v>
      </c>
      <c r="D190">
        <v>0</v>
      </c>
      <c r="E190">
        <v>0</v>
      </c>
      <c r="F190">
        <v>0</v>
      </c>
      <c r="G190" t="s">
        <v>18</v>
      </c>
      <c r="H190">
        <v>1</v>
      </c>
      <c r="I190">
        <v>0</v>
      </c>
      <c r="J190">
        <v>0</v>
      </c>
      <c r="K190">
        <v>7.77</v>
      </c>
      <c r="L190">
        <v>0</v>
      </c>
      <c r="M190">
        <v>4.0999999999999996</v>
      </c>
      <c r="N190">
        <v>625993.82999999996</v>
      </c>
      <c r="O190">
        <v>98960.320000000007</v>
      </c>
    </row>
    <row r="191" spans="1:15">
      <c r="A191" t="s">
        <v>69</v>
      </c>
      <c r="B191" s="2">
        <v>45689</v>
      </c>
      <c r="C191" t="s">
        <v>15</v>
      </c>
      <c r="D191">
        <v>0</v>
      </c>
      <c r="E191">
        <v>0</v>
      </c>
      <c r="F191">
        <v>0</v>
      </c>
      <c r="G191" t="s">
        <v>18</v>
      </c>
      <c r="H191">
        <v>1</v>
      </c>
      <c r="I191">
        <v>0</v>
      </c>
      <c r="J191">
        <v>0</v>
      </c>
      <c r="K191">
        <v>1.99</v>
      </c>
      <c r="L191">
        <v>0</v>
      </c>
      <c r="M191">
        <v>3.8</v>
      </c>
      <c r="N191">
        <v>550962.93000000005</v>
      </c>
      <c r="O191">
        <v>97144.58</v>
      </c>
    </row>
    <row r="192" spans="1:15">
      <c r="A192" t="s">
        <v>69</v>
      </c>
      <c r="B192" s="2">
        <v>45717</v>
      </c>
      <c r="C192" t="s">
        <v>15</v>
      </c>
      <c r="D192">
        <v>0</v>
      </c>
      <c r="E192">
        <v>0</v>
      </c>
      <c r="F192">
        <v>0</v>
      </c>
      <c r="G192" t="s">
        <v>18</v>
      </c>
      <c r="H192">
        <v>1</v>
      </c>
      <c r="I192">
        <v>0</v>
      </c>
      <c r="J192">
        <v>0</v>
      </c>
      <c r="K192">
        <v>4.7699999999999996</v>
      </c>
      <c r="L192">
        <v>0</v>
      </c>
      <c r="M192">
        <v>3.8</v>
      </c>
      <c r="N192">
        <v>443275.59</v>
      </c>
      <c r="O192">
        <v>53544.36</v>
      </c>
    </row>
    <row r="193" spans="1:15">
      <c r="A193" t="s">
        <v>69</v>
      </c>
      <c r="B193" s="2">
        <v>45748</v>
      </c>
      <c r="C193" t="s">
        <v>15</v>
      </c>
      <c r="D193">
        <v>0</v>
      </c>
      <c r="E193">
        <v>0</v>
      </c>
      <c r="F193">
        <v>0</v>
      </c>
      <c r="G193" t="s">
        <v>18</v>
      </c>
      <c r="H193">
        <v>1</v>
      </c>
      <c r="I193">
        <v>0</v>
      </c>
      <c r="J193">
        <v>0</v>
      </c>
      <c r="K193">
        <v>0.2</v>
      </c>
      <c r="L193">
        <v>0</v>
      </c>
      <c r="M193">
        <v>4.4000000000000004</v>
      </c>
      <c r="N193">
        <v>554012.06999999995</v>
      </c>
      <c r="O193">
        <v>81101.62</v>
      </c>
    </row>
    <row r="194" spans="1:15">
      <c r="A194" t="s">
        <v>70</v>
      </c>
      <c r="B194" s="2">
        <v>45658</v>
      </c>
      <c r="C194" t="s">
        <v>27</v>
      </c>
      <c r="D194">
        <v>0</v>
      </c>
      <c r="E194">
        <v>0</v>
      </c>
      <c r="F194">
        <v>1</v>
      </c>
      <c r="G194" t="s">
        <v>16</v>
      </c>
      <c r="H194">
        <v>0</v>
      </c>
      <c r="I194">
        <v>0</v>
      </c>
      <c r="J194">
        <v>0</v>
      </c>
      <c r="K194">
        <v>0.53</v>
      </c>
      <c r="L194">
        <v>0</v>
      </c>
      <c r="M194">
        <v>3.2</v>
      </c>
      <c r="N194">
        <v>643428.85</v>
      </c>
      <c r="O194">
        <v>94477.63</v>
      </c>
    </row>
    <row r="195" spans="1:15">
      <c r="A195" t="s">
        <v>70</v>
      </c>
      <c r="B195" s="2">
        <v>45689</v>
      </c>
      <c r="C195" t="s">
        <v>27</v>
      </c>
      <c r="D195">
        <v>0</v>
      </c>
      <c r="E195">
        <v>0</v>
      </c>
      <c r="F195">
        <v>1</v>
      </c>
      <c r="G195" t="s">
        <v>16</v>
      </c>
      <c r="H195">
        <v>0</v>
      </c>
      <c r="I195">
        <v>0</v>
      </c>
      <c r="J195">
        <v>0</v>
      </c>
      <c r="K195">
        <v>1.54</v>
      </c>
      <c r="L195">
        <v>0</v>
      </c>
      <c r="M195">
        <v>3.2</v>
      </c>
      <c r="N195">
        <v>611924.27</v>
      </c>
      <c r="O195">
        <v>115488.75</v>
      </c>
    </row>
    <row r="196" spans="1:15">
      <c r="A196" t="s">
        <v>70</v>
      </c>
      <c r="B196" s="2">
        <v>45717</v>
      </c>
      <c r="C196" t="s">
        <v>27</v>
      </c>
      <c r="D196">
        <v>0</v>
      </c>
      <c r="E196">
        <v>0</v>
      </c>
      <c r="F196">
        <v>1</v>
      </c>
      <c r="G196" t="s">
        <v>16</v>
      </c>
      <c r="H196">
        <v>0</v>
      </c>
      <c r="I196">
        <v>0</v>
      </c>
      <c r="J196">
        <v>0</v>
      </c>
      <c r="K196">
        <v>3.63</v>
      </c>
      <c r="L196">
        <v>0</v>
      </c>
      <c r="M196">
        <v>3.7</v>
      </c>
      <c r="N196">
        <v>559422.02</v>
      </c>
      <c r="O196">
        <v>73528.740000000005</v>
      </c>
    </row>
    <row r="197" spans="1:15">
      <c r="A197" t="s">
        <v>70</v>
      </c>
      <c r="B197" s="2">
        <v>45748</v>
      </c>
      <c r="C197" t="s">
        <v>27</v>
      </c>
      <c r="D197">
        <v>0</v>
      </c>
      <c r="E197">
        <v>0</v>
      </c>
      <c r="F197">
        <v>1</v>
      </c>
      <c r="G197" t="s">
        <v>16</v>
      </c>
      <c r="H197">
        <v>0</v>
      </c>
      <c r="I197">
        <v>0</v>
      </c>
      <c r="J197">
        <v>0</v>
      </c>
      <c r="K197">
        <v>13.48</v>
      </c>
      <c r="L197">
        <v>0</v>
      </c>
      <c r="N197">
        <v>449465.06</v>
      </c>
      <c r="O197">
        <v>65694.78</v>
      </c>
    </row>
    <row r="198" spans="1:15">
      <c r="A198" t="s">
        <v>71</v>
      </c>
      <c r="B198" s="2">
        <v>45658</v>
      </c>
      <c r="C198" t="s">
        <v>20</v>
      </c>
      <c r="D198">
        <v>1</v>
      </c>
      <c r="E198">
        <v>0</v>
      </c>
      <c r="F198">
        <v>0</v>
      </c>
      <c r="G198" t="s">
        <v>16</v>
      </c>
      <c r="H198">
        <v>0</v>
      </c>
      <c r="I198">
        <v>0</v>
      </c>
      <c r="J198">
        <v>0</v>
      </c>
      <c r="K198">
        <v>0.2</v>
      </c>
      <c r="L198">
        <v>0</v>
      </c>
      <c r="M198">
        <v>4.2</v>
      </c>
      <c r="N198">
        <v>691447.43</v>
      </c>
      <c r="O198">
        <v>114077.69</v>
      </c>
    </row>
    <row r="199" spans="1:15">
      <c r="A199" t="s">
        <v>71</v>
      </c>
      <c r="B199" s="2">
        <v>45689</v>
      </c>
      <c r="C199" t="s">
        <v>20</v>
      </c>
      <c r="D199">
        <v>1</v>
      </c>
      <c r="E199">
        <v>0</v>
      </c>
      <c r="F199">
        <v>0</v>
      </c>
      <c r="G199" t="s">
        <v>16</v>
      </c>
      <c r="H199">
        <v>0</v>
      </c>
      <c r="I199">
        <v>0</v>
      </c>
      <c r="J199">
        <v>0</v>
      </c>
      <c r="K199">
        <v>12.82</v>
      </c>
      <c r="L199">
        <v>0</v>
      </c>
      <c r="M199">
        <v>4.5999999999999996</v>
      </c>
      <c r="N199">
        <v>574066.61</v>
      </c>
      <c r="O199">
        <v>124674.67</v>
      </c>
    </row>
    <row r="200" spans="1:15">
      <c r="A200" t="s">
        <v>71</v>
      </c>
      <c r="B200" s="2">
        <v>45717</v>
      </c>
      <c r="C200" t="s">
        <v>20</v>
      </c>
      <c r="D200">
        <v>1</v>
      </c>
      <c r="E200">
        <v>0</v>
      </c>
      <c r="F200">
        <v>0</v>
      </c>
      <c r="G200" t="s">
        <v>16</v>
      </c>
      <c r="H200">
        <v>0</v>
      </c>
      <c r="I200">
        <v>0</v>
      </c>
      <c r="J200">
        <v>0</v>
      </c>
      <c r="K200">
        <v>2.2400000000000002</v>
      </c>
      <c r="L200">
        <v>1</v>
      </c>
      <c r="M200">
        <v>4.3</v>
      </c>
      <c r="N200">
        <v>578949.84</v>
      </c>
      <c r="O200">
        <v>80253.649999999994</v>
      </c>
    </row>
    <row r="201" spans="1:15">
      <c r="A201" t="s">
        <v>71</v>
      </c>
      <c r="B201" s="2">
        <v>45748</v>
      </c>
      <c r="C201" t="s">
        <v>20</v>
      </c>
      <c r="D201">
        <v>1</v>
      </c>
      <c r="E201">
        <v>0</v>
      </c>
      <c r="F201">
        <v>0</v>
      </c>
      <c r="G201" t="s">
        <v>16</v>
      </c>
      <c r="H201">
        <v>0</v>
      </c>
      <c r="I201">
        <v>0</v>
      </c>
      <c r="J201">
        <v>0</v>
      </c>
      <c r="K201">
        <v>1.8</v>
      </c>
      <c r="L201">
        <v>0</v>
      </c>
      <c r="M201">
        <v>4.8</v>
      </c>
      <c r="N201">
        <v>735786.64</v>
      </c>
      <c r="O201">
        <v>126540.66</v>
      </c>
    </row>
    <row r="202" spans="1:15">
      <c r="A202" t="s">
        <v>72</v>
      </c>
      <c r="B202" s="2">
        <v>45658</v>
      </c>
      <c r="C202" t="s">
        <v>15</v>
      </c>
      <c r="D202">
        <v>0</v>
      </c>
      <c r="E202">
        <v>0</v>
      </c>
      <c r="F202">
        <v>0</v>
      </c>
      <c r="G202" t="s">
        <v>21</v>
      </c>
      <c r="H202">
        <v>0</v>
      </c>
      <c r="I202">
        <v>1</v>
      </c>
      <c r="J202">
        <v>0</v>
      </c>
      <c r="K202">
        <v>0.41</v>
      </c>
      <c r="L202">
        <v>1</v>
      </c>
      <c r="M202">
        <v>4.5999999999999996</v>
      </c>
      <c r="N202">
        <v>598904.9</v>
      </c>
      <c r="O202">
        <v>72861</v>
      </c>
    </row>
    <row r="203" spans="1:15">
      <c r="A203" t="s">
        <v>72</v>
      </c>
      <c r="B203" s="2">
        <v>45689</v>
      </c>
      <c r="C203" t="s">
        <v>15</v>
      </c>
      <c r="D203">
        <v>0</v>
      </c>
      <c r="E203">
        <v>0</v>
      </c>
      <c r="F203">
        <v>0</v>
      </c>
      <c r="G203" t="s">
        <v>21</v>
      </c>
      <c r="H203">
        <v>0</v>
      </c>
      <c r="I203">
        <v>1</v>
      </c>
      <c r="J203">
        <v>0</v>
      </c>
      <c r="K203">
        <v>3.05</v>
      </c>
      <c r="L203">
        <v>0</v>
      </c>
      <c r="M203">
        <v>4.8</v>
      </c>
      <c r="N203">
        <v>787715.51</v>
      </c>
      <c r="O203">
        <v>128969.62</v>
      </c>
    </row>
    <row r="204" spans="1:15">
      <c r="A204" t="s">
        <v>72</v>
      </c>
      <c r="B204" s="2">
        <v>45717</v>
      </c>
      <c r="C204" t="s">
        <v>15</v>
      </c>
      <c r="D204">
        <v>0</v>
      </c>
      <c r="E204">
        <v>0</v>
      </c>
      <c r="F204">
        <v>0</v>
      </c>
      <c r="G204" t="s">
        <v>21</v>
      </c>
      <c r="H204">
        <v>0</v>
      </c>
      <c r="I204">
        <v>1</v>
      </c>
      <c r="J204">
        <v>0</v>
      </c>
      <c r="K204">
        <v>8.44</v>
      </c>
      <c r="L204">
        <v>1</v>
      </c>
      <c r="M204">
        <v>5</v>
      </c>
      <c r="N204">
        <v>607084.92000000004</v>
      </c>
      <c r="O204">
        <v>98558.49</v>
      </c>
    </row>
    <row r="205" spans="1:15">
      <c r="A205" t="s">
        <v>72</v>
      </c>
      <c r="B205" s="2">
        <v>45748</v>
      </c>
      <c r="C205" t="s">
        <v>15</v>
      </c>
      <c r="D205">
        <v>0</v>
      </c>
      <c r="E205">
        <v>0</v>
      </c>
      <c r="F205">
        <v>0</v>
      </c>
      <c r="G205" t="s">
        <v>21</v>
      </c>
      <c r="H205">
        <v>0</v>
      </c>
      <c r="I205">
        <v>1</v>
      </c>
      <c r="J205">
        <v>0</v>
      </c>
      <c r="K205">
        <v>0.78</v>
      </c>
      <c r="L205">
        <v>0</v>
      </c>
      <c r="M205">
        <v>4</v>
      </c>
      <c r="N205">
        <v>650795.49</v>
      </c>
      <c r="O205">
        <v>103035.89</v>
      </c>
    </row>
    <row r="206" spans="1:15">
      <c r="A206" t="s">
        <v>73</v>
      </c>
      <c r="B206" s="2">
        <v>45658</v>
      </c>
      <c r="C206" t="s">
        <v>15</v>
      </c>
      <c r="D206">
        <v>0</v>
      </c>
      <c r="E206">
        <v>0</v>
      </c>
      <c r="F206">
        <v>0</v>
      </c>
      <c r="G206" t="s">
        <v>28</v>
      </c>
      <c r="H206">
        <v>0</v>
      </c>
      <c r="I206">
        <v>0</v>
      </c>
      <c r="J206">
        <v>1</v>
      </c>
      <c r="K206">
        <v>0.87</v>
      </c>
      <c r="L206">
        <v>0</v>
      </c>
      <c r="M206">
        <v>3.7</v>
      </c>
      <c r="N206">
        <v>825060.52</v>
      </c>
      <c r="O206">
        <v>143613.15</v>
      </c>
    </row>
    <row r="207" spans="1:15">
      <c r="A207" t="s">
        <v>73</v>
      </c>
      <c r="B207" s="2">
        <v>45689</v>
      </c>
      <c r="C207" t="s">
        <v>15</v>
      </c>
      <c r="D207">
        <v>0</v>
      </c>
      <c r="E207">
        <v>0</v>
      </c>
      <c r="F207">
        <v>0</v>
      </c>
      <c r="G207" t="s">
        <v>28</v>
      </c>
      <c r="H207">
        <v>0</v>
      </c>
      <c r="I207">
        <v>0</v>
      </c>
      <c r="J207">
        <v>1</v>
      </c>
      <c r="K207">
        <v>0.95</v>
      </c>
      <c r="L207">
        <v>0</v>
      </c>
      <c r="M207">
        <v>3.7</v>
      </c>
      <c r="N207">
        <v>795464.47</v>
      </c>
      <c r="O207">
        <v>161150.51999999999</v>
      </c>
    </row>
    <row r="208" spans="1:15">
      <c r="A208" t="s">
        <v>73</v>
      </c>
      <c r="B208" s="2">
        <v>45717</v>
      </c>
      <c r="C208" t="s">
        <v>15</v>
      </c>
      <c r="D208">
        <v>0</v>
      </c>
      <c r="E208">
        <v>0</v>
      </c>
      <c r="F208">
        <v>0</v>
      </c>
      <c r="G208" t="s">
        <v>28</v>
      </c>
      <c r="H208">
        <v>0</v>
      </c>
      <c r="I208">
        <v>0</v>
      </c>
      <c r="J208">
        <v>1</v>
      </c>
      <c r="K208">
        <v>3.82</v>
      </c>
      <c r="L208">
        <v>0</v>
      </c>
      <c r="M208">
        <v>3.7</v>
      </c>
      <c r="N208">
        <v>671868.59</v>
      </c>
      <c r="O208">
        <v>71003.28</v>
      </c>
    </row>
    <row r="209" spans="1:15">
      <c r="A209" t="s">
        <v>73</v>
      </c>
      <c r="B209" s="2">
        <v>45748</v>
      </c>
      <c r="C209" t="s">
        <v>15</v>
      </c>
      <c r="D209">
        <v>0</v>
      </c>
      <c r="E209">
        <v>0</v>
      </c>
      <c r="F209">
        <v>0</v>
      </c>
      <c r="G209" t="s">
        <v>28</v>
      </c>
      <c r="H209">
        <v>0</v>
      </c>
      <c r="I209">
        <v>0</v>
      </c>
      <c r="J209">
        <v>1</v>
      </c>
      <c r="K209">
        <v>2.7</v>
      </c>
      <c r="L209">
        <v>0</v>
      </c>
      <c r="M209">
        <v>3.7</v>
      </c>
      <c r="N209">
        <v>675917.63</v>
      </c>
      <c r="O209">
        <v>112564.75</v>
      </c>
    </row>
    <row r="210" spans="1:15">
      <c r="A210" t="s">
        <v>74</v>
      </c>
      <c r="B210" s="2">
        <v>45658</v>
      </c>
      <c r="C210" t="s">
        <v>15</v>
      </c>
      <c r="D210">
        <v>0</v>
      </c>
      <c r="E210">
        <v>0</v>
      </c>
      <c r="F210">
        <v>0</v>
      </c>
      <c r="G210" t="s">
        <v>18</v>
      </c>
      <c r="H210">
        <v>1</v>
      </c>
      <c r="I210">
        <v>0</v>
      </c>
      <c r="J210">
        <v>0</v>
      </c>
      <c r="K210">
        <v>3.84</v>
      </c>
      <c r="L210">
        <v>1</v>
      </c>
      <c r="M210">
        <v>3.7</v>
      </c>
      <c r="N210">
        <v>810446.53</v>
      </c>
      <c r="O210">
        <v>200575.34</v>
      </c>
    </row>
    <row r="211" spans="1:15">
      <c r="A211" t="s">
        <v>74</v>
      </c>
      <c r="B211" s="2">
        <v>45689</v>
      </c>
      <c r="C211" t="s">
        <v>15</v>
      </c>
      <c r="D211">
        <v>0</v>
      </c>
      <c r="E211">
        <v>0</v>
      </c>
      <c r="F211">
        <v>0</v>
      </c>
      <c r="G211" t="s">
        <v>18</v>
      </c>
      <c r="H211">
        <v>1</v>
      </c>
      <c r="I211">
        <v>0</v>
      </c>
      <c r="J211">
        <v>0</v>
      </c>
      <c r="K211">
        <v>5.09</v>
      </c>
      <c r="L211">
        <v>0</v>
      </c>
      <c r="M211">
        <v>3.3</v>
      </c>
      <c r="N211">
        <v>691288.19</v>
      </c>
      <c r="O211">
        <v>159074.14000000001</v>
      </c>
    </row>
    <row r="212" spans="1:15">
      <c r="A212" t="s">
        <v>74</v>
      </c>
      <c r="B212" s="2">
        <v>45717</v>
      </c>
      <c r="C212" t="s">
        <v>15</v>
      </c>
      <c r="D212">
        <v>0</v>
      </c>
      <c r="E212">
        <v>0</v>
      </c>
      <c r="F212">
        <v>0</v>
      </c>
      <c r="G212" t="s">
        <v>18</v>
      </c>
      <c r="H212">
        <v>1</v>
      </c>
      <c r="I212">
        <v>0</v>
      </c>
      <c r="J212">
        <v>0</v>
      </c>
      <c r="K212">
        <v>3.82</v>
      </c>
      <c r="L212">
        <v>1</v>
      </c>
      <c r="M212">
        <v>3.7</v>
      </c>
      <c r="N212">
        <v>946833.54</v>
      </c>
      <c r="O212">
        <v>184540.31</v>
      </c>
    </row>
    <row r="213" spans="1:15">
      <c r="A213" t="s">
        <v>74</v>
      </c>
      <c r="B213" s="2">
        <v>45748</v>
      </c>
      <c r="C213" t="s">
        <v>15</v>
      </c>
      <c r="D213">
        <v>0</v>
      </c>
      <c r="E213">
        <v>0</v>
      </c>
      <c r="F213">
        <v>0</v>
      </c>
      <c r="G213" t="s">
        <v>18</v>
      </c>
      <c r="H213">
        <v>1</v>
      </c>
      <c r="I213">
        <v>0</v>
      </c>
      <c r="J213">
        <v>0</v>
      </c>
      <c r="K213">
        <v>12.28</v>
      </c>
      <c r="L213">
        <v>0</v>
      </c>
      <c r="M213">
        <v>4.0999999999999996</v>
      </c>
      <c r="N213">
        <v>761963.23</v>
      </c>
      <c r="O213">
        <v>150113.60999999999</v>
      </c>
    </row>
    <row r="214" spans="1:15">
      <c r="A214" t="s">
        <v>75</v>
      </c>
      <c r="B214" s="2">
        <v>45658</v>
      </c>
      <c r="C214" t="s">
        <v>27</v>
      </c>
      <c r="D214">
        <v>0</v>
      </c>
      <c r="E214">
        <v>0</v>
      </c>
      <c r="F214">
        <v>1</v>
      </c>
      <c r="G214" t="s">
        <v>16</v>
      </c>
      <c r="H214">
        <v>0</v>
      </c>
      <c r="I214">
        <v>0</v>
      </c>
      <c r="J214">
        <v>0</v>
      </c>
      <c r="K214">
        <v>2.8</v>
      </c>
      <c r="L214">
        <v>0</v>
      </c>
      <c r="M214">
        <v>4.3</v>
      </c>
      <c r="N214">
        <v>812152.6</v>
      </c>
      <c r="O214">
        <v>138419.43</v>
      </c>
    </row>
    <row r="215" spans="1:15">
      <c r="A215" t="s">
        <v>75</v>
      </c>
      <c r="B215" s="2">
        <v>45689</v>
      </c>
      <c r="C215" t="s">
        <v>27</v>
      </c>
      <c r="D215">
        <v>0</v>
      </c>
      <c r="E215">
        <v>0</v>
      </c>
      <c r="F215">
        <v>1</v>
      </c>
      <c r="G215" t="s">
        <v>16</v>
      </c>
      <c r="H215">
        <v>0</v>
      </c>
      <c r="I215">
        <v>0</v>
      </c>
      <c r="J215">
        <v>0</v>
      </c>
      <c r="K215">
        <v>3.67</v>
      </c>
      <c r="L215">
        <v>0</v>
      </c>
      <c r="M215">
        <v>4.2</v>
      </c>
      <c r="N215">
        <v>804975.5</v>
      </c>
      <c r="O215">
        <v>140054.5</v>
      </c>
    </row>
    <row r="216" spans="1:15">
      <c r="A216" t="s">
        <v>75</v>
      </c>
      <c r="B216" s="2">
        <v>45717</v>
      </c>
      <c r="C216" t="s">
        <v>27</v>
      </c>
      <c r="D216">
        <v>0</v>
      </c>
      <c r="E216">
        <v>0</v>
      </c>
      <c r="F216">
        <v>1</v>
      </c>
      <c r="G216" t="s">
        <v>16</v>
      </c>
      <c r="H216">
        <v>0</v>
      </c>
      <c r="I216">
        <v>0</v>
      </c>
      <c r="J216">
        <v>0</v>
      </c>
      <c r="K216">
        <v>2.81</v>
      </c>
      <c r="L216">
        <v>0</v>
      </c>
      <c r="M216">
        <v>4.7</v>
      </c>
      <c r="N216">
        <v>752321.72</v>
      </c>
      <c r="O216">
        <v>137788.51</v>
      </c>
    </row>
    <row r="217" spans="1:15">
      <c r="A217" t="s">
        <v>75</v>
      </c>
      <c r="B217" s="2">
        <v>45748</v>
      </c>
      <c r="C217" t="s">
        <v>27</v>
      </c>
      <c r="D217">
        <v>0</v>
      </c>
      <c r="E217">
        <v>0</v>
      </c>
      <c r="F217">
        <v>1</v>
      </c>
      <c r="G217" t="s">
        <v>16</v>
      </c>
      <c r="H217">
        <v>0</v>
      </c>
      <c r="I217">
        <v>0</v>
      </c>
      <c r="J217">
        <v>0</v>
      </c>
      <c r="K217">
        <v>2.44</v>
      </c>
      <c r="L217">
        <v>0</v>
      </c>
      <c r="M217">
        <v>4.9000000000000004</v>
      </c>
      <c r="N217">
        <v>836908.24</v>
      </c>
      <c r="O217">
        <v>141090.26</v>
      </c>
    </row>
    <row r="218" spans="1:15">
      <c r="A218" t="s">
        <v>76</v>
      </c>
      <c r="B218" s="2">
        <v>45658</v>
      </c>
      <c r="C218" t="s">
        <v>20</v>
      </c>
      <c r="D218">
        <v>1</v>
      </c>
      <c r="E218">
        <v>0</v>
      </c>
      <c r="F218">
        <v>0</v>
      </c>
      <c r="G218" t="s">
        <v>21</v>
      </c>
      <c r="H218">
        <v>0</v>
      </c>
      <c r="I218">
        <v>1</v>
      </c>
      <c r="J218">
        <v>0</v>
      </c>
      <c r="K218">
        <v>3.27</v>
      </c>
      <c r="L218">
        <v>0</v>
      </c>
      <c r="M218">
        <v>3.3</v>
      </c>
      <c r="N218">
        <v>674289.1</v>
      </c>
      <c r="O218">
        <v>117773.79</v>
      </c>
    </row>
    <row r="219" spans="1:15">
      <c r="A219" t="s">
        <v>76</v>
      </c>
      <c r="B219" s="2">
        <v>45689</v>
      </c>
      <c r="C219" t="s">
        <v>20</v>
      </c>
      <c r="D219">
        <v>1</v>
      </c>
      <c r="E219">
        <v>0</v>
      </c>
      <c r="F219">
        <v>0</v>
      </c>
      <c r="G219" t="s">
        <v>21</v>
      </c>
      <c r="H219">
        <v>0</v>
      </c>
      <c r="I219">
        <v>1</v>
      </c>
      <c r="J219">
        <v>0</v>
      </c>
      <c r="K219">
        <v>10.34</v>
      </c>
      <c r="L219">
        <v>0</v>
      </c>
      <c r="M219">
        <v>3.9</v>
      </c>
      <c r="N219">
        <v>622892.42000000004</v>
      </c>
      <c r="O219">
        <v>101032.52</v>
      </c>
    </row>
    <row r="220" spans="1:15">
      <c r="A220" t="s">
        <v>76</v>
      </c>
      <c r="B220" s="2">
        <v>45717</v>
      </c>
      <c r="C220" t="s">
        <v>20</v>
      </c>
      <c r="D220">
        <v>1</v>
      </c>
      <c r="E220">
        <v>0</v>
      </c>
      <c r="F220">
        <v>0</v>
      </c>
      <c r="G220" t="s">
        <v>21</v>
      </c>
      <c r="H220">
        <v>0</v>
      </c>
      <c r="I220">
        <v>1</v>
      </c>
      <c r="J220">
        <v>0</v>
      </c>
      <c r="K220">
        <v>1.92</v>
      </c>
      <c r="L220">
        <v>0</v>
      </c>
      <c r="M220">
        <v>3.7</v>
      </c>
      <c r="N220">
        <v>673348.56</v>
      </c>
      <c r="O220">
        <v>69464.59</v>
      </c>
    </row>
    <row r="221" spans="1:15">
      <c r="A221" t="s">
        <v>76</v>
      </c>
      <c r="B221" s="2">
        <v>45748</v>
      </c>
      <c r="C221" t="s">
        <v>20</v>
      </c>
      <c r="D221">
        <v>1</v>
      </c>
      <c r="E221">
        <v>0</v>
      </c>
      <c r="F221">
        <v>0</v>
      </c>
      <c r="G221" t="s">
        <v>21</v>
      </c>
      <c r="H221">
        <v>0</v>
      </c>
      <c r="I221">
        <v>1</v>
      </c>
      <c r="J221">
        <v>0</v>
      </c>
      <c r="K221">
        <v>3.1</v>
      </c>
      <c r="L221">
        <v>0</v>
      </c>
      <c r="M221">
        <v>3.9</v>
      </c>
      <c r="N221">
        <v>606278.30000000005</v>
      </c>
      <c r="O221">
        <v>102213.26</v>
      </c>
    </row>
    <row r="222" spans="1:15">
      <c r="A222" t="s">
        <v>77</v>
      </c>
      <c r="B222" s="2">
        <v>45658</v>
      </c>
      <c r="C222" t="s">
        <v>15</v>
      </c>
      <c r="D222">
        <v>0</v>
      </c>
      <c r="E222">
        <v>0</v>
      </c>
      <c r="F222">
        <v>0</v>
      </c>
      <c r="G222" t="s">
        <v>18</v>
      </c>
      <c r="H222">
        <v>1</v>
      </c>
      <c r="I222">
        <v>0</v>
      </c>
      <c r="J222">
        <v>0</v>
      </c>
      <c r="K222">
        <v>6.34</v>
      </c>
      <c r="L222">
        <v>1</v>
      </c>
      <c r="M222">
        <v>3.8</v>
      </c>
      <c r="N222">
        <v>712219.81</v>
      </c>
      <c r="O222">
        <v>85906.54</v>
      </c>
    </row>
    <row r="223" spans="1:15">
      <c r="A223" t="s">
        <v>77</v>
      </c>
      <c r="B223" s="2">
        <v>45689</v>
      </c>
      <c r="C223" t="s">
        <v>15</v>
      </c>
      <c r="D223">
        <v>0</v>
      </c>
      <c r="E223">
        <v>0</v>
      </c>
      <c r="F223">
        <v>0</v>
      </c>
      <c r="G223" t="s">
        <v>18</v>
      </c>
      <c r="H223">
        <v>1</v>
      </c>
      <c r="I223">
        <v>0</v>
      </c>
      <c r="J223">
        <v>0</v>
      </c>
      <c r="K223">
        <v>1.2</v>
      </c>
      <c r="L223">
        <v>0</v>
      </c>
      <c r="M223">
        <v>3.4</v>
      </c>
      <c r="N223">
        <v>672670.54</v>
      </c>
      <c r="O223">
        <v>132684.18</v>
      </c>
    </row>
    <row r="224" spans="1:15">
      <c r="A224" t="s">
        <v>77</v>
      </c>
      <c r="B224" s="2">
        <v>45717</v>
      </c>
      <c r="C224" t="s">
        <v>15</v>
      </c>
      <c r="D224">
        <v>0</v>
      </c>
      <c r="E224">
        <v>0</v>
      </c>
      <c r="F224">
        <v>0</v>
      </c>
      <c r="G224" t="s">
        <v>18</v>
      </c>
      <c r="H224">
        <v>1</v>
      </c>
      <c r="I224">
        <v>0</v>
      </c>
      <c r="J224">
        <v>0</v>
      </c>
      <c r="K224">
        <v>4.5</v>
      </c>
      <c r="L224">
        <v>0</v>
      </c>
      <c r="M224">
        <v>3.3</v>
      </c>
      <c r="N224">
        <v>732667.92</v>
      </c>
      <c r="O224">
        <v>128654.46</v>
      </c>
    </row>
    <row r="225" spans="1:15">
      <c r="A225" t="s">
        <v>77</v>
      </c>
      <c r="B225" s="2">
        <v>45748</v>
      </c>
      <c r="C225" t="s">
        <v>15</v>
      </c>
      <c r="D225">
        <v>0</v>
      </c>
      <c r="E225">
        <v>0</v>
      </c>
      <c r="F225">
        <v>0</v>
      </c>
      <c r="G225" t="s">
        <v>18</v>
      </c>
      <c r="H225">
        <v>1</v>
      </c>
      <c r="I225">
        <v>0</v>
      </c>
      <c r="J225">
        <v>0</v>
      </c>
      <c r="K225">
        <v>6.68</v>
      </c>
      <c r="L225">
        <v>0</v>
      </c>
      <c r="M225">
        <v>3.6</v>
      </c>
      <c r="N225">
        <v>723531.4</v>
      </c>
      <c r="O225">
        <v>108794.85</v>
      </c>
    </row>
    <row r="226" spans="1:15">
      <c r="A226" t="s">
        <v>78</v>
      </c>
      <c r="B226" s="2">
        <v>45658</v>
      </c>
      <c r="C226" t="s">
        <v>15</v>
      </c>
      <c r="D226">
        <v>0</v>
      </c>
      <c r="E226">
        <v>0</v>
      </c>
      <c r="F226">
        <v>0</v>
      </c>
      <c r="G226" t="s">
        <v>28</v>
      </c>
      <c r="H226">
        <v>0</v>
      </c>
      <c r="I226">
        <v>0</v>
      </c>
      <c r="J226">
        <v>1</v>
      </c>
      <c r="K226">
        <v>4.07</v>
      </c>
      <c r="L226">
        <v>1</v>
      </c>
      <c r="M226">
        <v>3</v>
      </c>
      <c r="N226">
        <v>641564.6</v>
      </c>
      <c r="O226">
        <v>90468.96</v>
      </c>
    </row>
    <row r="227" spans="1:15">
      <c r="A227" t="s">
        <v>78</v>
      </c>
      <c r="B227" s="2">
        <v>45689</v>
      </c>
      <c r="C227" t="s">
        <v>15</v>
      </c>
      <c r="D227">
        <v>0</v>
      </c>
      <c r="E227">
        <v>0</v>
      </c>
      <c r="F227">
        <v>0</v>
      </c>
      <c r="G227" t="s">
        <v>28</v>
      </c>
      <c r="H227">
        <v>0</v>
      </c>
      <c r="I227">
        <v>0</v>
      </c>
      <c r="J227">
        <v>1</v>
      </c>
      <c r="K227">
        <v>5.45</v>
      </c>
      <c r="L227">
        <v>0</v>
      </c>
      <c r="M227">
        <v>3.4</v>
      </c>
      <c r="N227">
        <v>536545.49</v>
      </c>
      <c r="O227">
        <v>97917.45</v>
      </c>
    </row>
    <row r="228" spans="1:15">
      <c r="A228" t="s">
        <v>78</v>
      </c>
      <c r="B228" s="2">
        <v>45717</v>
      </c>
      <c r="C228" t="s">
        <v>15</v>
      </c>
      <c r="D228">
        <v>0</v>
      </c>
      <c r="E228">
        <v>0</v>
      </c>
      <c r="F228">
        <v>0</v>
      </c>
      <c r="G228" t="s">
        <v>28</v>
      </c>
      <c r="H228">
        <v>0</v>
      </c>
      <c r="I228">
        <v>0</v>
      </c>
      <c r="J228">
        <v>1</v>
      </c>
      <c r="K228">
        <v>15.58</v>
      </c>
      <c r="L228">
        <v>0</v>
      </c>
      <c r="M228">
        <v>3.3</v>
      </c>
      <c r="N228">
        <v>527681.56000000006</v>
      </c>
      <c r="O228">
        <v>63153.05</v>
      </c>
    </row>
    <row r="229" spans="1:15">
      <c r="A229" t="s">
        <v>78</v>
      </c>
      <c r="B229" s="2">
        <v>45748</v>
      </c>
      <c r="C229" t="s">
        <v>15</v>
      </c>
      <c r="D229">
        <v>0</v>
      </c>
      <c r="E229">
        <v>0</v>
      </c>
      <c r="F229">
        <v>0</v>
      </c>
      <c r="G229" t="s">
        <v>28</v>
      </c>
      <c r="H229">
        <v>0</v>
      </c>
      <c r="I229">
        <v>0</v>
      </c>
      <c r="J229">
        <v>1</v>
      </c>
      <c r="K229">
        <v>5.32</v>
      </c>
      <c r="L229">
        <v>0</v>
      </c>
      <c r="N229">
        <v>529598.93999999994</v>
      </c>
      <c r="O229">
        <v>84334.33</v>
      </c>
    </row>
    <row r="230" spans="1:15">
      <c r="A230" t="s">
        <v>79</v>
      </c>
      <c r="B230" s="2">
        <v>45658</v>
      </c>
      <c r="C230" t="s">
        <v>15</v>
      </c>
      <c r="D230">
        <v>0</v>
      </c>
      <c r="E230">
        <v>0</v>
      </c>
      <c r="F230">
        <v>0</v>
      </c>
      <c r="G230" t="s">
        <v>18</v>
      </c>
      <c r="H230">
        <v>1</v>
      </c>
      <c r="I230">
        <v>0</v>
      </c>
      <c r="J230">
        <v>0</v>
      </c>
      <c r="K230">
        <v>0.37</v>
      </c>
      <c r="L230">
        <v>0</v>
      </c>
      <c r="M230">
        <v>3.8</v>
      </c>
      <c r="N230">
        <v>570963.31000000006</v>
      </c>
      <c r="O230">
        <v>87342.25</v>
      </c>
    </row>
    <row r="231" spans="1:15">
      <c r="A231" t="s">
        <v>79</v>
      </c>
      <c r="B231" s="2">
        <v>45689</v>
      </c>
      <c r="C231" t="s">
        <v>15</v>
      </c>
      <c r="D231">
        <v>0</v>
      </c>
      <c r="E231">
        <v>0</v>
      </c>
      <c r="F231">
        <v>0</v>
      </c>
      <c r="G231" t="s">
        <v>18</v>
      </c>
      <c r="H231">
        <v>1</v>
      </c>
      <c r="I231">
        <v>0</v>
      </c>
      <c r="J231">
        <v>0</v>
      </c>
      <c r="K231">
        <v>21.63</v>
      </c>
      <c r="L231">
        <v>0</v>
      </c>
      <c r="M231">
        <v>4</v>
      </c>
      <c r="N231">
        <v>870937.4</v>
      </c>
      <c r="O231">
        <v>175282.74</v>
      </c>
    </row>
    <row r="232" spans="1:15">
      <c r="A232" t="s">
        <v>79</v>
      </c>
      <c r="B232" s="2">
        <v>45717</v>
      </c>
      <c r="C232" t="s">
        <v>15</v>
      </c>
      <c r="D232">
        <v>0</v>
      </c>
      <c r="E232">
        <v>0</v>
      </c>
      <c r="F232">
        <v>0</v>
      </c>
      <c r="G232" t="s">
        <v>18</v>
      </c>
      <c r="H232">
        <v>1</v>
      </c>
      <c r="I232">
        <v>0</v>
      </c>
      <c r="J232">
        <v>0</v>
      </c>
      <c r="K232">
        <v>2.48</v>
      </c>
      <c r="L232">
        <v>0</v>
      </c>
      <c r="M232">
        <v>3.9</v>
      </c>
      <c r="N232">
        <v>596969.27</v>
      </c>
      <c r="O232">
        <v>105669.51</v>
      </c>
    </row>
    <row r="233" spans="1:15">
      <c r="A233" t="s">
        <v>79</v>
      </c>
      <c r="B233" s="2">
        <v>45748</v>
      </c>
      <c r="C233" t="s">
        <v>15</v>
      </c>
      <c r="D233">
        <v>0</v>
      </c>
      <c r="E233">
        <v>0</v>
      </c>
      <c r="F233">
        <v>0</v>
      </c>
      <c r="G233" t="s">
        <v>18</v>
      </c>
      <c r="H233">
        <v>1</v>
      </c>
      <c r="I233">
        <v>0</v>
      </c>
      <c r="J233">
        <v>0</v>
      </c>
      <c r="L233">
        <v>0</v>
      </c>
      <c r="M233">
        <v>3.7</v>
      </c>
      <c r="N233">
        <v>647512.85</v>
      </c>
      <c r="O233">
        <v>153835.57</v>
      </c>
    </row>
    <row r="234" spans="1:15">
      <c r="A234" t="s">
        <v>80</v>
      </c>
      <c r="B234" s="2">
        <v>45658</v>
      </c>
      <c r="C234" t="s">
        <v>27</v>
      </c>
      <c r="D234">
        <v>0</v>
      </c>
      <c r="E234">
        <v>0</v>
      </c>
      <c r="F234">
        <v>1</v>
      </c>
      <c r="G234" t="s">
        <v>16</v>
      </c>
      <c r="H234">
        <v>0</v>
      </c>
      <c r="I234">
        <v>0</v>
      </c>
      <c r="J234">
        <v>0</v>
      </c>
      <c r="K234">
        <v>0.85</v>
      </c>
      <c r="L234">
        <v>0</v>
      </c>
      <c r="M234">
        <v>4.3</v>
      </c>
      <c r="N234">
        <v>658072.14</v>
      </c>
      <c r="O234">
        <v>110595.89</v>
      </c>
    </row>
    <row r="235" spans="1:15">
      <c r="A235" t="s">
        <v>80</v>
      </c>
      <c r="B235" s="2">
        <v>45689</v>
      </c>
      <c r="C235" t="s">
        <v>27</v>
      </c>
      <c r="D235">
        <v>0</v>
      </c>
      <c r="E235">
        <v>0</v>
      </c>
      <c r="F235">
        <v>1</v>
      </c>
      <c r="G235" t="s">
        <v>16</v>
      </c>
      <c r="H235">
        <v>0</v>
      </c>
      <c r="I235">
        <v>0</v>
      </c>
      <c r="J235">
        <v>0</v>
      </c>
      <c r="K235">
        <v>2.13</v>
      </c>
      <c r="L235">
        <v>0</v>
      </c>
      <c r="M235">
        <v>4</v>
      </c>
      <c r="N235">
        <v>723305.11</v>
      </c>
      <c r="O235">
        <v>128468.7</v>
      </c>
    </row>
    <row r="236" spans="1:15">
      <c r="A236" t="s">
        <v>80</v>
      </c>
      <c r="B236" s="2">
        <v>45717</v>
      </c>
      <c r="C236" t="s">
        <v>27</v>
      </c>
      <c r="D236">
        <v>0</v>
      </c>
      <c r="E236">
        <v>0</v>
      </c>
      <c r="F236">
        <v>1</v>
      </c>
      <c r="G236" t="s">
        <v>16</v>
      </c>
      <c r="H236">
        <v>0</v>
      </c>
      <c r="I236">
        <v>0</v>
      </c>
      <c r="J236">
        <v>0</v>
      </c>
      <c r="K236">
        <v>1.46</v>
      </c>
      <c r="L236">
        <v>0</v>
      </c>
      <c r="M236">
        <v>4.5</v>
      </c>
      <c r="N236">
        <v>640666.53</v>
      </c>
      <c r="O236">
        <v>134919.16</v>
      </c>
    </row>
    <row r="237" spans="1:15">
      <c r="A237" t="s">
        <v>80</v>
      </c>
      <c r="B237" s="2">
        <v>45748</v>
      </c>
      <c r="C237" t="s">
        <v>27</v>
      </c>
      <c r="D237">
        <v>0</v>
      </c>
      <c r="E237">
        <v>0</v>
      </c>
      <c r="F237">
        <v>1</v>
      </c>
      <c r="G237" t="s">
        <v>16</v>
      </c>
      <c r="H237">
        <v>0</v>
      </c>
      <c r="I237">
        <v>0</v>
      </c>
      <c r="J237">
        <v>0</v>
      </c>
      <c r="K237">
        <v>3.02</v>
      </c>
      <c r="L237">
        <v>0</v>
      </c>
      <c r="M237">
        <v>4.0999999999999996</v>
      </c>
      <c r="N237">
        <v>670629.48</v>
      </c>
      <c r="O237">
        <v>100140.8</v>
      </c>
    </row>
    <row r="238" spans="1:15">
      <c r="A238" t="s">
        <v>81</v>
      </c>
      <c r="B238" s="2">
        <v>45658</v>
      </c>
      <c r="C238" t="s">
        <v>27</v>
      </c>
      <c r="D238">
        <v>0</v>
      </c>
      <c r="E238">
        <v>0</v>
      </c>
      <c r="F238">
        <v>1</v>
      </c>
      <c r="G238" t="s">
        <v>28</v>
      </c>
      <c r="H238">
        <v>0</v>
      </c>
      <c r="I238">
        <v>0</v>
      </c>
      <c r="J238">
        <v>1</v>
      </c>
      <c r="K238">
        <v>3.22</v>
      </c>
      <c r="L238">
        <v>0</v>
      </c>
      <c r="M238">
        <v>3.7</v>
      </c>
      <c r="N238">
        <v>721079.35</v>
      </c>
      <c r="O238">
        <v>115295.05</v>
      </c>
    </row>
    <row r="239" spans="1:15">
      <c r="A239" t="s">
        <v>81</v>
      </c>
      <c r="B239" s="2">
        <v>45689</v>
      </c>
      <c r="C239" t="s">
        <v>27</v>
      </c>
      <c r="D239">
        <v>0</v>
      </c>
      <c r="E239">
        <v>0</v>
      </c>
      <c r="F239">
        <v>1</v>
      </c>
      <c r="G239" t="s">
        <v>28</v>
      </c>
      <c r="H239">
        <v>0</v>
      </c>
      <c r="I239">
        <v>0</v>
      </c>
      <c r="J239">
        <v>1</v>
      </c>
      <c r="K239">
        <v>15.66</v>
      </c>
      <c r="L239">
        <v>0</v>
      </c>
      <c r="M239">
        <v>3.4</v>
      </c>
      <c r="N239">
        <v>810355.02</v>
      </c>
      <c r="O239">
        <v>131510</v>
      </c>
    </row>
    <row r="240" spans="1:15">
      <c r="A240" t="s">
        <v>81</v>
      </c>
      <c r="B240" s="2">
        <v>45717</v>
      </c>
      <c r="C240" t="s">
        <v>27</v>
      </c>
      <c r="D240">
        <v>0</v>
      </c>
      <c r="E240">
        <v>0</v>
      </c>
      <c r="F240">
        <v>1</v>
      </c>
      <c r="G240" t="s">
        <v>28</v>
      </c>
      <c r="H240">
        <v>0</v>
      </c>
      <c r="I240">
        <v>0</v>
      </c>
      <c r="J240">
        <v>1</v>
      </c>
      <c r="K240">
        <v>6.96</v>
      </c>
      <c r="L240">
        <v>0</v>
      </c>
      <c r="M240">
        <v>3.2</v>
      </c>
      <c r="N240">
        <v>761919.25</v>
      </c>
      <c r="O240">
        <v>111893.06</v>
      </c>
    </row>
    <row r="241" spans="1:15">
      <c r="A241" t="s">
        <v>81</v>
      </c>
      <c r="B241" s="2">
        <v>45748</v>
      </c>
      <c r="C241" t="s">
        <v>27</v>
      </c>
      <c r="D241">
        <v>0</v>
      </c>
      <c r="E241">
        <v>0</v>
      </c>
      <c r="F241">
        <v>1</v>
      </c>
      <c r="G241" t="s">
        <v>28</v>
      </c>
      <c r="H241">
        <v>0</v>
      </c>
      <c r="I241">
        <v>0</v>
      </c>
      <c r="J241">
        <v>1</v>
      </c>
      <c r="K241">
        <v>4.62</v>
      </c>
      <c r="L241">
        <v>0</v>
      </c>
      <c r="M241">
        <v>3.3</v>
      </c>
      <c r="N241">
        <v>737070.18</v>
      </c>
      <c r="O241">
        <v>117593.97</v>
      </c>
    </row>
    <row r="242" spans="1:15">
      <c r="A242" t="s">
        <v>82</v>
      </c>
      <c r="B242" s="2">
        <v>45658</v>
      </c>
      <c r="C242" t="s">
        <v>24</v>
      </c>
      <c r="D242">
        <v>0</v>
      </c>
      <c r="E242">
        <v>1</v>
      </c>
      <c r="F242">
        <v>0</v>
      </c>
      <c r="G242" t="s">
        <v>21</v>
      </c>
      <c r="H242">
        <v>0</v>
      </c>
      <c r="I242">
        <v>1</v>
      </c>
      <c r="J242">
        <v>0</v>
      </c>
      <c r="K242">
        <v>10.68</v>
      </c>
      <c r="L242">
        <v>1</v>
      </c>
      <c r="M242">
        <v>2.9</v>
      </c>
      <c r="N242">
        <v>776992.93</v>
      </c>
      <c r="O242">
        <v>101598.32</v>
      </c>
    </row>
    <row r="243" spans="1:15">
      <c r="A243" t="s">
        <v>82</v>
      </c>
      <c r="B243" s="2">
        <v>45689</v>
      </c>
      <c r="C243" t="s">
        <v>24</v>
      </c>
      <c r="D243">
        <v>0</v>
      </c>
      <c r="E243">
        <v>1</v>
      </c>
      <c r="F243">
        <v>0</v>
      </c>
      <c r="G243" t="s">
        <v>21</v>
      </c>
      <c r="H243">
        <v>0</v>
      </c>
      <c r="I243">
        <v>1</v>
      </c>
      <c r="J243">
        <v>0</v>
      </c>
      <c r="K243">
        <v>4.04</v>
      </c>
      <c r="L243">
        <v>0</v>
      </c>
      <c r="M243">
        <v>3.7</v>
      </c>
      <c r="N243">
        <v>676337.41</v>
      </c>
      <c r="O243">
        <v>104355.77</v>
      </c>
    </row>
    <row r="244" spans="1:15">
      <c r="A244" t="s">
        <v>82</v>
      </c>
      <c r="B244" s="2">
        <v>45717</v>
      </c>
      <c r="C244" t="s">
        <v>24</v>
      </c>
      <c r="D244">
        <v>0</v>
      </c>
      <c r="E244">
        <v>1</v>
      </c>
      <c r="F244">
        <v>0</v>
      </c>
      <c r="G244" t="s">
        <v>21</v>
      </c>
      <c r="H244">
        <v>0</v>
      </c>
      <c r="I244">
        <v>1</v>
      </c>
      <c r="J244">
        <v>0</v>
      </c>
      <c r="K244">
        <v>1.87</v>
      </c>
      <c r="L244">
        <v>0</v>
      </c>
      <c r="M244">
        <v>3.5</v>
      </c>
      <c r="N244">
        <v>828219.67</v>
      </c>
      <c r="O244">
        <v>179806.87</v>
      </c>
    </row>
    <row r="245" spans="1:15">
      <c r="A245" t="s">
        <v>82</v>
      </c>
      <c r="B245" s="2">
        <v>45748</v>
      </c>
      <c r="C245" t="s">
        <v>24</v>
      </c>
      <c r="D245">
        <v>0</v>
      </c>
      <c r="E245">
        <v>1</v>
      </c>
      <c r="F245">
        <v>0</v>
      </c>
      <c r="G245" t="s">
        <v>21</v>
      </c>
      <c r="H245">
        <v>0</v>
      </c>
      <c r="I245">
        <v>1</v>
      </c>
      <c r="J245">
        <v>0</v>
      </c>
      <c r="K245">
        <v>2.83</v>
      </c>
      <c r="L245">
        <v>0</v>
      </c>
      <c r="M245">
        <v>3</v>
      </c>
      <c r="N245">
        <v>763159.92</v>
      </c>
      <c r="O245">
        <v>177104.87</v>
      </c>
    </row>
    <row r="246" spans="1:15">
      <c r="A246" t="s">
        <v>83</v>
      </c>
      <c r="B246" s="2">
        <v>45658</v>
      </c>
      <c r="C246" t="s">
        <v>15</v>
      </c>
      <c r="D246">
        <v>0</v>
      </c>
      <c r="E246">
        <v>0</v>
      </c>
      <c r="F246">
        <v>0</v>
      </c>
      <c r="G246" t="s">
        <v>18</v>
      </c>
      <c r="H246">
        <v>1</v>
      </c>
      <c r="I246">
        <v>0</v>
      </c>
      <c r="J246">
        <v>0</v>
      </c>
      <c r="K246">
        <v>0.95</v>
      </c>
      <c r="L246">
        <v>0</v>
      </c>
      <c r="M246">
        <v>3.2</v>
      </c>
      <c r="N246">
        <v>802001.68</v>
      </c>
      <c r="O246">
        <v>159715.82</v>
      </c>
    </row>
    <row r="247" spans="1:15">
      <c r="A247" t="s">
        <v>83</v>
      </c>
      <c r="B247" s="2">
        <v>45689</v>
      </c>
      <c r="C247" t="s">
        <v>15</v>
      </c>
      <c r="D247">
        <v>0</v>
      </c>
      <c r="E247">
        <v>0</v>
      </c>
      <c r="F247">
        <v>0</v>
      </c>
      <c r="G247" t="s">
        <v>18</v>
      </c>
      <c r="H247">
        <v>1</v>
      </c>
      <c r="I247">
        <v>0</v>
      </c>
      <c r="J247">
        <v>0</v>
      </c>
      <c r="K247">
        <v>0.8</v>
      </c>
      <c r="L247">
        <v>0</v>
      </c>
      <c r="M247">
        <v>3.4</v>
      </c>
      <c r="N247">
        <v>750471.34</v>
      </c>
      <c r="O247">
        <v>133788.04</v>
      </c>
    </row>
    <row r="248" spans="1:15">
      <c r="A248" t="s">
        <v>83</v>
      </c>
      <c r="B248" s="2">
        <v>45717</v>
      </c>
      <c r="C248" t="s">
        <v>15</v>
      </c>
      <c r="D248">
        <v>0</v>
      </c>
      <c r="E248">
        <v>0</v>
      </c>
      <c r="F248">
        <v>0</v>
      </c>
      <c r="G248" t="s">
        <v>18</v>
      </c>
      <c r="H248">
        <v>1</v>
      </c>
      <c r="I248">
        <v>0</v>
      </c>
      <c r="J248">
        <v>0</v>
      </c>
      <c r="K248">
        <v>0.2</v>
      </c>
      <c r="L248">
        <v>0</v>
      </c>
      <c r="M248">
        <v>3.1</v>
      </c>
      <c r="N248">
        <v>679230.86</v>
      </c>
      <c r="O248">
        <v>106927.58</v>
      </c>
    </row>
    <row r="249" spans="1:15">
      <c r="A249" t="s">
        <v>83</v>
      </c>
      <c r="B249" s="2">
        <v>45748</v>
      </c>
      <c r="C249" t="s">
        <v>15</v>
      </c>
      <c r="D249">
        <v>0</v>
      </c>
      <c r="E249">
        <v>0</v>
      </c>
      <c r="F249">
        <v>0</v>
      </c>
      <c r="G249" t="s">
        <v>18</v>
      </c>
      <c r="H249">
        <v>1</v>
      </c>
      <c r="I249">
        <v>0</v>
      </c>
      <c r="J249">
        <v>0</v>
      </c>
      <c r="K249">
        <v>1.7</v>
      </c>
      <c r="L249">
        <v>0</v>
      </c>
      <c r="M249">
        <v>3.3</v>
      </c>
      <c r="N249">
        <v>679888.74</v>
      </c>
      <c r="O249">
        <v>83406.89</v>
      </c>
    </row>
    <row r="250" spans="1:15">
      <c r="A250" t="s">
        <v>84</v>
      </c>
      <c r="B250" s="2">
        <v>45658</v>
      </c>
      <c r="C250" t="s">
        <v>20</v>
      </c>
      <c r="D250">
        <v>1</v>
      </c>
      <c r="E250">
        <v>0</v>
      </c>
      <c r="F250">
        <v>0</v>
      </c>
      <c r="G250" t="s">
        <v>18</v>
      </c>
      <c r="H250">
        <v>1</v>
      </c>
      <c r="I250">
        <v>0</v>
      </c>
      <c r="J250">
        <v>0</v>
      </c>
      <c r="L250">
        <v>0</v>
      </c>
      <c r="M250">
        <v>3.8</v>
      </c>
      <c r="N250">
        <v>606783.67000000004</v>
      </c>
      <c r="O250">
        <v>74515.87</v>
      </c>
    </row>
    <row r="251" spans="1:15">
      <c r="A251" t="s">
        <v>84</v>
      </c>
      <c r="B251" s="2">
        <v>45689</v>
      </c>
      <c r="C251" t="s">
        <v>20</v>
      </c>
      <c r="D251">
        <v>1</v>
      </c>
      <c r="E251">
        <v>0</v>
      </c>
      <c r="F251">
        <v>0</v>
      </c>
      <c r="G251" t="s">
        <v>18</v>
      </c>
      <c r="H251">
        <v>1</v>
      </c>
      <c r="I251">
        <v>0</v>
      </c>
      <c r="J251">
        <v>0</v>
      </c>
      <c r="K251">
        <v>5.0999999999999996</v>
      </c>
      <c r="L251">
        <v>0</v>
      </c>
      <c r="M251">
        <v>3.6</v>
      </c>
      <c r="N251">
        <v>642751.42000000004</v>
      </c>
      <c r="O251">
        <v>131942.15</v>
      </c>
    </row>
    <row r="252" spans="1:15">
      <c r="A252" t="s">
        <v>84</v>
      </c>
      <c r="B252" s="2">
        <v>45717</v>
      </c>
      <c r="C252" t="s">
        <v>20</v>
      </c>
      <c r="D252">
        <v>1</v>
      </c>
      <c r="E252">
        <v>0</v>
      </c>
      <c r="F252">
        <v>0</v>
      </c>
      <c r="G252" t="s">
        <v>18</v>
      </c>
      <c r="H252">
        <v>1</v>
      </c>
      <c r="I252">
        <v>0</v>
      </c>
      <c r="J252">
        <v>0</v>
      </c>
      <c r="K252">
        <v>0.83</v>
      </c>
      <c r="L252">
        <v>0</v>
      </c>
      <c r="M252">
        <v>4</v>
      </c>
      <c r="N252">
        <v>647953.78</v>
      </c>
      <c r="O252">
        <v>118497.43</v>
      </c>
    </row>
    <row r="253" spans="1:15">
      <c r="A253" t="s">
        <v>84</v>
      </c>
      <c r="B253" s="2">
        <v>45748</v>
      </c>
      <c r="C253" t="s">
        <v>20</v>
      </c>
      <c r="D253">
        <v>1</v>
      </c>
      <c r="E253">
        <v>0</v>
      </c>
      <c r="F253">
        <v>0</v>
      </c>
      <c r="G253" t="s">
        <v>18</v>
      </c>
      <c r="H253">
        <v>1</v>
      </c>
      <c r="I253">
        <v>0</v>
      </c>
      <c r="J253">
        <v>0</v>
      </c>
      <c r="K253">
        <v>1.1399999999999999</v>
      </c>
      <c r="L253">
        <v>0</v>
      </c>
      <c r="M253">
        <v>4</v>
      </c>
      <c r="N253">
        <v>729440.45</v>
      </c>
      <c r="O253">
        <v>87614.29</v>
      </c>
    </row>
    <row r="254" spans="1:15">
      <c r="A254" t="s">
        <v>85</v>
      </c>
      <c r="B254" s="2">
        <v>45658</v>
      </c>
      <c r="C254" t="s">
        <v>24</v>
      </c>
      <c r="D254">
        <v>0</v>
      </c>
      <c r="E254">
        <v>1</v>
      </c>
      <c r="F254">
        <v>0</v>
      </c>
      <c r="G254" t="s">
        <v>21</v>
      </c>
      <c r="H254">
        <v>0</v>
      </c>
      <c r="I254">
        <v>1</v>
      </c>
      <c r="J254">
        <v>0</v>
      </c>
      <c r="K254">
        <v>9.5399999999999991</v>
      </c>
      <c r="L254">
        <v>0</v>
      </c>
      <c r="M254">
        <v>3.7</v>
      </c>
      <c r="N254">
        <v>764949</v>
      </c>
      <c r="O254">
        <v>148322.43</v>
      </c>
    </row>
    <row r="255" spans="1:15">
      <c r="A255" t="s">
        <v>85</v>
      </c>
      <c r="B255" s="2">
        <v>45689</v>
      </c>
      <c r="C255" t="s">
        <v>24</v>
      </c>
      <c r="D255">
        <v>0</v>
      </c>
      <c r="E255">
        <v>1</v>
      </c>
      <c r="F255">
        <v>0</v>
      </c>
      <c r="G255" t="s">
        <v>21</v>
      </c>
      <c r="H255">
        <v>0</v>
      </c>
      <c r="I255">
        <v>1</v>
      </c>
      <c r="J255">
        <v>0</v>
      </c>
      <c r="K255">
        <v>5.48</v>
      </c>
      <c r="L255">
        <v>0</v>
      </c>
      <c r="M255">
        <v>3.2</v>
      </c>
      <c r="N255">
        <v>799046.94</v>
      </c>
      <c r="O255">
        <v>144553.64000000001</v>
      </c>
    </row>
    <row r="256" spans="1:15">
      <c r="A256" t="s">
        <v>85</v>
      </c>
      <c r="B256" s="2">
        <v>45717</v>
      </c>
      <c r="C256" t="s">
        <v>24</v>
      </c>
      <c r="D256">
        <v>0</v>
      </c>
      <c r="E256">
        <v>1</v>
      </c>
      <c r="F256">
        <v>0</v>
      </c>
      <c r="G256" t="s">
        <v>21</v>
      </c>
      <c r="H256">
        <v>0</v>
      </c>
      <c r="I256">
        <v>1</v>
      </c>
      <c r="J256">
        <v>0</v>
      </c>
      <c r="K256">
        <v>0.84</v>
      </c>
      <c r="L256">
        <v>0</v>
      </c>
      <c r="M256">
        <v>3.6</v>
      </c>
      <c r="N256">
        <v>720079.54</v>
      </c>
      <c r="O256">
        <v>119499.47</v>
      </c>
    </row>
    <row r="257" spans="1:15">
      <c r="A257" t="s">
        <v>85</v>
      </c>
      <c r="B257" s="2">
        <v>45748</v>
      </c>
      <c r="C257" t="s">
        <v>24</v>
      </c>
      <c r="D257">
        <v>0</v>
      </c>
      <c r="E257">
        <v>1</v>
      </c>
      <c r="F257">
        <v>0</v>
      </c>
      <c r="G257" t="s">
        <v>21</v>
      </c>
      <c r="H257">
        <v>0</v>
      </c>
      <c r="I257">
        <v>1</v>
      </c>
      <c r="J257">
        <v>0</v>
      </c>
      <c r="K257">
        <v>4.1900000000000004</v>
      </c>
      <c r="L257">
        <v>0</v>
      </c>
      <c r="M257">
        <v>4.0999999999999996</v>
      </c>
      <c r="N257">
        <v>612390.14</v>
      </c>
      <c r="O257">
        <v>108985.74</v>
      </c>
    </row>
    <row r="258" spans="1:15">
      <c r="A258" t="s">
        <v>86</v>
      </c>
      <c r="B258" s="2">
        <v>45658</v>
      </c>
      <c r="C258" t="s">
        <v>24</v>
      </c>
      <c r="D258">
        <v>0</v>
      </c>
      <c r="E258">
        <v>1</v>
      </c>
      <c r="F258">
        <v>0</v>
      </c>
      <c r="G258" t="s">
        <v>28</v>
      </c>
      <c r="H258">
        <v>0</v>
      </c>
      <c r="I258">
        <v>0</v>
      </c>
      <c r="J258">
        <v>1</v>
      </c>
      <c r="K258">
        <v>1.26</v>
      </c>
      <c r="L258">
        <v>1</v>
      </c>
      <c r="M258">
        <v>4.3</v>
      </c>
      <c r="N258">
        <v>840108.12</v>
      </c>
      <c r="O258">
        <v>126587.01</v>
      </c>
    </row>
    <row r="259" spans="1:15">
      <c r="A259" t="s">
        <v>86</v>
      </c>
      <c r="B259" s="2">
        <v>45689</v>
      </c>
      <c r="C259" t="s">
        <v>24</v>
      </c>
      <c r="D259">
        <v>0</v>
      </c>
      <c r="E259">
        <v>1</v>
      </c>
      <c r="F259">
        <v>0</v>
      </c>
      <c r="G259" t="s">
        <v>28</v>
      </c>
      <c r="H259">
        <v>0</v>
      </c>
      <c r="I259">
        <v>0</v>
      </c>
      <c r="J259">
        <v>1</v>
      </c>
      <c r="K259">
        <v>2.74</v>
      </c>
      <c r="L259">
        <v>0</v>
      </c>
      <c r="M259">
        <v>4.5999999999999996</v>
      </c>
      <c r="N259">
        <v>697888.09</v>
      </c>
      <c r="O259">
        <v>116249.87</v>
      </c>
    </row>
    <row r="260" spans="1:15">
      <c r="A260" t="s">
        <v>86</v>
      </c>
      <c r="B260" s="2">
        <v>45717</v>
      </c>
      <c r="C260" t="s">
        <v>24</v>
      </c>
      <c r="D260">
        <v>0</v>
      </c>
      <c r="E260">
        <v>1</v>
      </c>
      <c r="F260">
        <v>0</v>
      </c>
      <c r="G260" t="s">
        <v>28</v>
      </c>
      <c r="H260">
        <v>0</v>
      </c>
      <c r="I260">
        <v>0</v>
      </c>
      <c r="J260">
        <v>1</v>
      </c>
      <c r="K260">
        <v>3.69</v>
      </c>
      <c r="L260">
        <v>0</v>
      </c>
      <c r="M260">
        <v>4.4000000000000004</v>
      </c>
      <c r="N260">
        <v>746115.59</v>
      </c>
      <c r="O260">
        <v>94662.96</v>
      </c>
    </row>
    <row r="261" spans="1:15">
      <c r="A261" t="s">
        <v>86</v>
      </c>
      <c r="B261" s="2">
        <v>45748</v>
      </c>
      <c r="C261" t="s">
        <v>24</v>
      </c>
      <c r="D261">
        <v>0</v>
      </c>
      <c r="E261">
        <v>1</v>
      </c>
      <c r="F261">
        <v>0</v>
      </c>
      <c r="G261" t="s">
        <v>28</v>
      </c>
      <c r="H261">
        <v>0</v>
      </c>
      <c r="I261">
        <v>0</v>
      </c>
      <c r="J261">
        <v>1</v>
      </c>
      <c r="K261">
        <v>1.82</v>
      </c>
      <c r="L261">
        <v>0</v>
      </c>
      <c r="M261">
        <v>3.6</v>
      </c>
      <c r="N261">
        <v>776110.32</v>
      </c>
      <c r="O261">
        <v>139676.21</v>
      </c>
    </row>
    <row r="262" spans="1:15">
      <c r="A262" t="s">
        <v>87</v>
      </c>
      <c r="B262" s="2">
        <v>45658</v>
      </c>
      <c r="C262" t="s">
        <v>27</v>
      </c>
      <c r="D262">
        <v>0</v>
      </c>
      <c r="E262">
        <v>0</v>
      </c>
      <c r="F262">
        <v>1</v>
      </c>
      <c r="G262" t="s">
        <v>18</v>
      </c>
      <c r="H262">
        <v>1</v>
      </c>
      <c r="I262">
        <v>0</v>
      </c>
      <c r="J262">
        <v>0</v>
      </c>
      <c r="K262">
        <v>6.62</v>
      </c>
      <c r="L262">
        <v>0</v>
      </c>
      <c r="M262">
        <v>4.2</v>
      </c>
      <c r="N262">
        <v>528852.62</v>
      </c>
      <c r="O262">
        <v>68426.210000000006</v>
      </c>
    </row>
    <row r="263" spans="1:15">
      <c r="A263" t="s">
        <v>87</v>
      </c>
      <c r="B263" s="2">
        <v>45689</v>
      </c>
      <c r="C263" t="s">
        <v>27</v>
      </c>
      <c r="D263">
        <v>0</v>
      </c>
      <c r="E263">
        <v>0</v>
      </c>
      <c r="F263">
        <v>1</v>
      </c>
      <c r="G263" t="s">
        <v>18</v>
      </c>
      <c r="H263">
        <v>1</v>
      </c>
      <c r="I263">
        <v>0</v>
      </c>
      <c r="J263">
        <v>0</v>
      </c>
      <c r="L263">
        <v>0</v>
      </c>
      <c r="M263">
        <v>4.2</v>
      </c>
      <c r="N263">
        <v>605751.32999999996</v>
      </c>
      <c r="O263">
        <v>60685.53</v>
      </c>
    </row>
    <row r="264" spans="1:15">
      <c r="A264" t="s">
        <v>87</v>
      </c>
      <c r="B264" s="2">
        <v>45717</v>
      </c>
      <c r="C264" t="s">
        <v>27</v>
      </c>
      <c r="D264">
        <v>0</v>
      </c>
      <c r="E264">
        <v>0</v>
      </c>
      <c r="F264">
        <v>1</v>
      </c>
      <c r="G264" t="s">
        <v>18</v>
      </c>
      <c r="H264">
        <v>1</v>
      </c>
      <c r="I264">
        <v>0</v>
      </c>
      <c r="J264">
        <v>0</v>
      </c>
      <c r="K264">
        <v>6.92</v>
      </c>
      <c r="L264">
        <v>1</v>
      </c>
      <c r="M264">
        <v>4.2</v>
      </c>
      <c r="N264">
        <v>677640.65</v>
      </c>
      <c r="O264">
        <v>111610.89</v>
      </c>
    </row>
    <row r="265" spans="1:15">
      <c r="A265" t="s">
        <v>87</v>
      </c>
      <c r="B265" s="2">
        <v>45748</v>
      </c>
      <c r="C265" t="s">
        <v>27</v>
      </c>
      <c r="D265">
        <v>0</v>
      </c>
      <c r="E265">
        <v>0</v>
      </c>
      <c r="F265">
        <v>1</v>
      </c>
      <c r="G265" t="s">
        <v>18</v>
      </c>
      <c r="H265">
        <v>1</v>
      </c>
      <c r="I265">
        <v>0</v>
      </c>
      <c r="J265">
        <v>0</v>
      </c>
      <c r="K265">
        <v>11.78</v>
      </c>
      <c r="L265">
        <v>0</v>
      </c>
      <c r="M265">
        <v>3.7</v>
      </c>
      <c r="N265">
        <v>636613.23</v>
      </c>
      <c r="O265">
        <v>78908.350000000006</v>
      </c>
    </row>
    <row r="266" spans="1:15">
      <c r="A266" t="s">
        <v>88</v>
      </c>
      <c r="B266" s="2">
        <v>45658</v>
      </c>
      <c r="C266" t="s">
        <v>15</v>
      </c>
      <c r="D266">
        <v>0</v>
      </c>
      <c r="E266">
        <v>0</v>
      </c>
      <c r="F266">
        <v>0</v>
      </c>
      <c r="G266" t="s">
        <v>18</v>
      </c>
      <c r="H266">
        <v>1</v>
      </c>
      <c r="I266">
        <v>0</v>
      </c>
      <c r="J266">
        <v>0</v>
      </c>
      <c r="K266">
        <v>0.5</v>
      </c>
      <c r="L266">
        <v>0</v>
      </c>
      <c r="M266">
        <v>3.5</v>
      </c>
      <c r="N266">
        <v>708985.19</v>
      </c>
      <c r="O266">
        <v>125368.16</v>
      </c>
    </row>
    <row r="267" spans="1:15">
      <c r="A267" t="s">
        <v>88</v>
      </c>
      <c r="B267" s="2">
        <v>45689</v>
      </c>
      <c r="C267" t="s">
        <v>15</v>
      </c>
      <c r="D267">
        <v>0</v>
      </c>
      <c r="E267">
        <v>0</v>
      </c>
      <c r="F267">
        <v>0</v>
      </c>
      <c r="G267" t="s">
        <v>18</v>
      </c>
      <c r="H267">
        <v>1</v>
      </c>
      <c r="I267">
        <v>0</v>
      </c>
      <c r="J267">
        <v>0</v>
      </c>
      <c r="K267">
        <v>0.88</v>
      </c>
      <c r="L267">
        <v>0</v>
      </c>
      <c r="M267">
        <v>3.7</v>
      </c>
      <c r="N267">
        <v>767792.94</v>
      </c>
      <c r="O267">
        <v>96235.77</v>
      </c>
    </row>
    <row r="268" spans="1:15">
      <c r="A268" t="s">
        <v>88</v>
      </c>
      <c r="B268" s="2">
        <v>45717</v>
      </c>
      <c r="C268" t="s">
        <v>15</v>
      </c>
      <c r="D268">
        <v>0</v>
      </c>
      <c r="E268">
        <v>0</v>
      </c>
      <c r="F268">
        <v>0</v>
      </c>
      <c r="G268" t="s">
        <v>18</v>
      </c>
      <c r="H268">
        <v>1</v>
      </c>
      <c r="I268">
        <v>0</v>
      </c>
      <c r="J268">
        <v>0</v>
      </c>
      <c r="K268">
        <v>2.25</v>
      </c>
      <c r="L268">
        <v>0</v>
      </c>
      <c r="M268">
        <v>3.7</v>
      </c>
      <c r="N268">
        <v>745580.51</v>
      </c>
      <c r="O268">
        <v>116273.68</v>
      </c>
    </row>
    <row r="269" spans="1:15">
      <c r="A269" t="s">
        <v>88</v>
      </c>
      <c r="B269" s="2">
        <v>45748</v>
      </c>
      <c r="C269" t="s">
        <v>15</v>
      </c>
      <c r="D269">
        <v>0</v>
      </c>
      <c r="E269">
        <v>0</v>
      </c>
      <c r="F269">
        <v>0</v>
      </c>
      <c r="G269" t="s">
        <v>18</v>
      </c>
      <c r="H269">
        <v>1</v>
      </c>
      <c r="I269">
        <v>0</v>
      </c>
      <c r="J269">
        <v>0</v>
      </c>
      <c r="K269">
        <v>0.28999999999999998</v>
      </c>
      <c r="L269">
        <v>0</v>
      </c>
      <c r="M269">
        <v>3.5</v>
      </c>
      <c r="N269">
        <v>762328.31</v>
      </c>
      <c r="O269">
        <v>159158.19</v>
      </c>
    </row>
    <row r="270" spans="1:15">
      <c r="A270" t="s">
        <v>89</v>
      </c>
      <c r="B270" s="2">
        <v>45658</v>
      </c>
      <c r="C270" t="s">
        <v>15</v>
      </c>
      <c r="D270">
        <v>0</v>
      </c>
      <c r="E270">
        <v>0</v>
      </c>
      <c r="F270">
        <v>0</v>
      </c>
      <c r="G270" t="s">
        <v>28</v>
      </c>
      <c r="H270">
        <v>0</v>
      </c>
      <c r="I270">
        <v>0</v>
      </c>
      <c r="J270">
        <v>1</v>
      </c>
      <c r="K270">
        <v>0.65</v>
      </c>
      <c r="L270">
        <v>0</v>
      </c>
      <c r="M270">
        <v>3.6</v>
      </c>
      <c r="N270">
        <v>660633.99</v>
      </c>
      <c r="O270">
        <v>118768.66</v>
      </c>
    </row>
    <row r="271" spans="1:15">
      <c r="A271" t="s">
        <v>89</v>
      </c>
      <c r="B271" s="2">
        <v>45689</v>
      </c>
      <c r="C271" t="s">
        <v>15</v>
      </c>
      <c r="D271">
        <v>0</v>
      </c>
      <c r="E271">
        <v>0</v>
      </c>
      <c r="F271">
        <v>0</v>
      </c>
      <c r="G271" t="s">
        <v>28</v>
      </c>
      <c r="H271">
        <v>0</v>
      </c>
      <c r="I271">
        <v>0</v>
      </c>
      <c r="J271">
        <v>1</v>
      </c>
      <c r="K271">
        <v>0.2</v>
      </c>
      <c r="L271">
        <v>0</v>
      </c>
      <c r="M271">
        <v>3.5</v>
      </c>
      <c r="N271">
        <v>739374.56</v>
      </c>
      <c r="O271">
        <v>121032.29</v>
      </c>
    </row>
    <row r="272" spans="1:15">
      <c r="A272" t="s">
        <v>89</v>
      </c>
      <c r="B272" s="2">
        <v>45717</v>
      </c>
      <c r="C272" t="s">
        <v>15</v>
      </c>
      <c r="D272">
        <v>0</v>
      </c>
      <c r="E272">
        <v>0</v>
      </c>
      <c r="F272">
        <v>0</v>
      </c>
      <c r="G272" t="s">
        <v>28</v>
      </c>
      <c r="H272">
        <v>0</v>
      </c>
      <c r="I272">
        <v>0</v>
      </c>
      <c r="J272">
        <v>1</v>
      </c>
      <c r="K272">
        <v>3.63</v>
      </c>
      <c r="L272">
        <v>1</v>
      </c>
      <c r="M272">
        <v>3.8</v>
      </c>
      <c r="N272">
        <v>799756.46</v>
      </c>
      <c r="O272">
        <v>105052.93</v>
      </c>
    </row>
    <row r="273" spans="1:15">
      <c r="A273" t="s">
        <v>89</v>
      </c>
      <c r="B273" s="2">
        <v>45748</v>
      </c>
      <c r="C273" t="s">
        <v>15</v>
      </c>
      <c r="D273">
        <v>0</v>
      </c>
      <c r="E273">
        <v>0</v>
      </c>
      <c r="F273">
        <v>0</v>
      </c>
      <c r="G273" t="s">
        <v>28</v>
      </c>
      <c r="H273">
        <v>0</v>
      </c>
      <c r="I273">
        <v>0</v>
      </c>
      <c r="J273">
        <v>1</v>
      </c>
      <c r="K273">
        <v>0.2</v>
      </c>
      <c r="L273">
        <v>0</v>
      </c>
      <c r="M273">
        <v>3.2</v>
      </c>
      <c r="N273">
        <v>593343</v>
      </c>
      <c r="O273">
        <v>82832.240000000005</v>
      </c>
    </row>
    <row r="274" spans="1:15">
      <c r="A274" t="s">
        <v>90</v>
      </c>
      <c r="B274" s="2">
        <v>45658</v>
      </c>
      <c r="C274" t="s">
        <v>27</v>
      </c>
      <c r="D274">
        <v>0</v>
      </c>
      <c r="E274">
        <v>0</v>
      </c>
      <c r="F274">
        <v>1</v>
      </c>
      <c r="G274" t="s">
        <v>18</v>
      </c>
      <c r="H274">
        <v>1</v>
      </c>
      <c r="I274">
        <v>0</v>
      </c>
      <c r="J274">
        <v>0</v>
      </c>
      <c r="K274">
        <v>6.23</v>
      </c>
      <c r="L274">
        <v>0</v>
      </c>
      <c r="M274">
        <v>3.3</v>
      </c>
      <c r="N274">
        <v>645039.97</v>
      </c>
      <c r="O274">
        <v>83093.33</v>
      </c>
    </row>
    <row r="275" spans="1:15">
      <c r="A275" t="s">
        <v>90</v>
      </c>
      <c r="B275" s="2">
        <v>45689</v>
      </c>
      <c r="C275" t="s">
        <v>27</v>
      </c>
      <c r="D275">
        <v>0</v>
      </c>
      <c r="E275">
        <v>0</v>
      </c>
      <c r="F275">
        <v>1</v>
      </c>
      <c r="G275" t="s">
        <v>18</v>
      </c>
      <c r="H275">
        <v>1</v>
      </c>
      <c r="I275">
        <v>0</v>
      </c>
      <c r="J275">
        <v>0</v>
      </c>
      <c r="K275">
        <v>1.04</v>
      </c>
      <c r="L275">
        <v>0</v>
      </c>
      <c r="M275">
        <v>3.1</v>
      </c>
      <c r="N275">
        <v>561597.32999999996</v>
      </c>
      <c r="O275">
        <v>75072.75</v>
      </c>
    </row>
    <row r="276" spans="1:15">
      <c r="A276" t="s">
        <v>90</v>
      </c>
      <c r="B276" s="2">
        <v>45717</v>
      </c>
      <c r="C276" t="s">
        <v>27</v>
      </c>
      <c r="D276">
        <v>0</v>
      </c>
      <c r="E276">
        <v>0</v>
      </c>
      <c r="F276">
        <v>1</v>
      </c>
      <c r="G276" t="s">
        <v>18</v>
      </c>
      <c r="H276">
        <v>1</v>
      </c>
      <c r="I276">
        <v>0</v>
      </c>
      <c r="J276">
        <v>0</v>
      </c>
      <c r="K276">
        <v>1.76</v>
      </c>
      <c r="L276">
        <v>0</v>
      </c>
      <c r="M276">
        <v>3.1</v>
      </c>
      <c r="N276">
        <v>635837.74</v>
      </c>
      <c r="O276">
        <v>114740.64</v>
      </c>
    </row>
    <row r="277" spans="1:15">
      <c r="A277" t="s">
        <v>90</v>
      </c>
      <c r="B277" s="2">
        <v>45748</v>
      </c>
      <c r="C277" t="s">
        <v>27</v>
      </c>
      <c r="D277">
        <v>0</v>
      </c>
      <c r="E277">
        <v>0</v>
      </c>
      <c r="F277">
        <v>1</v>
      </c>
      <c r="G277" t="s">
        <v>18</v>
      </c>
      <c r="H277">
        <v>1</v>
      </c>
      <c r="I277">
        <v>0</v>
      </c>
      <c r="J277">
        <v>0</v>
      </c>
      <c r="K277">
        <v>2.86</v>
      </c>
      <c r="L277">
        <v>0</v>
      </c>
      <c r="M277">
        <v>3</v>
      </c>
      <c r="N277">
        <v>686737.87</v>
      </c>
      <c r="O277">
        <v>83839.67</v>
      </c>
    </row>
    <row r="278" spans="1:15">
      <c r="A278" t="s">
        <v>91</v>
      </c>
      <c r="B278" s="2">
        <v>45658</v>
      </c>
      <c r="C278" t="s">
        <v>24</v>
      </c>
      <c r="D278">
        <v>0</v>
      </c>
      <c r="E278">
        <v>1</v>
      </c>
      <c r="F278">
        <v>0</v>
      </c>
      <c r="G278" t="s">
        <v>16</v>
      </c>
      <c r="H278">
        <v>0</v>
      </c>
      <c r="I278">
        <v>0</v>
      </c>
      <c r="J278">
        <v>0</v>
      </c>
      <c r="K278">
        <v>18.14</v>
      </c>
      <c r="L278">
        <v>1</v>
      </c>
      <c r="M278">
        <v>3.4</v>
      </c>
      <c r="N278">
        <v>673076.34</v>
      </c>
      <c r="O278">
        <v>93899.76</v>
      </c>
    </row>
    <row r="279" spans="1:15">
      <c r="A279" t="s">
        <v>91</v>
      </c>
      <c r="B279" s="2">
        <v>45689</v>
      </c>
      <c r="C279" t="s">
        <v>24</v>
      </c>
      <c r="D279">
        <v>0</v>
      </c>
      <c r="E279">
        <v>1</v>
      </c>
      <c r="F279">
        <v>0</v>
      </c>
      <c r="G279" t="s">
        <v>16</v>
      </c>
      <c r="H279">
        <v>0</v>
      </c>
      <c r="I279">
        <v>0</v>
      </c>
      <c r="J279">
        <v>0</v>
      </c>
      <c r="K279">
        <v>3.39</v>
      </c>
      <c r="L279">
        <v>0</v>
      </c>
      <c r="M279">
        <v>4</v>
      </c>
      <c r="N279">
        <v>738548.42</v>
      </c>
      <c r="O279">
        <v>134282.76999999999</v>
      </c>
    </row>
    <row r="280" spans="1:15">
      <c r="A280" t="s">
        <v>91</v>
      </c>
      <c r="B280" s="2">
        <v>45717</v>
      </c>
      <c r="C280" t="s">
        <v>24</v>
      </c>
      <c r="D280">
        <v>0</v>
      </c>
      <c r="E280">
        <v>1</v>
      </c>
      <c r="F280">
        <v>0</v>
      </c>
      <c r="G280" t="s">
        <v>16</v>
      </c>
      <c r="H280">
        <v>0</v>
      </c>
      <c r="I280">
        <v>0</v>
      </c>
      <c r="J280">
        <v>0</v>
      </c>
      <c r="K280">
        <v>1.44</v>
      </c>
      <c r="L280">
        <v>0</v>
      </c>
      <c r="M280">
        <v>3.9</v>
      </c>
      <c r="N280">
        <v>756619.77</v>
      </c>
      <c r="O280">
        <v>112057.69</v>
      </c>
    </row>
    <row r="281" spans="1:15">
      <c r="A281" t="s">
        <v>91</v>
      </c>
      <c r="B281" s="2">
        <v>45748</v>
      </c>
      <c r="C281" t="s">
        <v>24</v>
      </c>
      <c r="D281">
        <v>0</v>
      </c>
      <c r="E281">
        <v>1</v>
      </c>
      <c r="F281">
        <v>0</v>
      </c>
      <c r="G281" t="s">
        <v>16</v>
      </c>
      <c r="H281">
        <v>0</v>
      </c>
      <c r="I281">
        <v>0</v>
      </c>
      <c r="J281">
        <v>0</v>
      </c>
      <c r="K281">
        <v>3.65</v>
      </c>
      <c r="L281">
        <v>0</v>
      </c>
      <c r="M281">
        <v>3.7</v>
      </c>
      <c r="N281">
        <v>761122.42</v>
      </c>
      <c r="O281">
        <v>149802.04</v>
      </c>
    </row>
    <row r="282" spans="1:15">
      <c r="A282" t="s">
        <v>92</v>
      </c>
      <c r="B282" s="2">
        <v>45658</v>
      </c>
      <c r="C282" t="s">
        <v>24</v>
      </c>
      <c r="D282">
        <v>0</v>
      </c>
      <c r="E282">
        <v>1</v>
      </c>
      <c r="F282">
        <v>0</v>
      </c>
      <c r="G282" t="s">
        <v>18</v>
      </c>
      <c r="H282">
        <v>1</v>
      </c>
      <c r="I282">
        <v>0</v>
      </c>
      <c r="J282">
        <v>0</v>
      </c>
      <c r="K282">
        <v>1.23</v>
      </c>
      <c r="L282">
        <v>1</v>
      </c>
      <c r="M282">
        <v>3.8</v>
      </c>
      <c r="N282">
        <v>524899.56999999995</v>
      </c>
      <c r="O282">
        <v>63619.98</v>
      </c>
    </row>
    <row r="283" spans="1:15">
      <c r="A283" t="s">
        <v>92</v>
      </c>
      <c r="B283" s="2">
        <v>45689</v>
      </c>
      <c r="C283" t="s">
        <v>24</v>
      </c>
      <c r="D283">
        <v>0</v>
      </c>
      <c r="E283">
        <v>1</v>
      </c>
      <c r="F283">
        <v>0</v>
      </c>
      <c r="G283" t="s">
        <v>18</v>
      </c>
      <c r="H283">
        <v>1</v>
      </c>
      <c r="I283">
        <v>0</v>
      </c>
      <c r="J283">
        <v>0</v>
      </c>
      <c r="K283">
        <v>3.09</v>
      </c>
      <c r="L283">
        <v>0</v>
      </c>
      <c r="M283">
        <v>4</v>
      </c>
      <c r="N283">
        <v>555557.77</v>
      </c>
      <c r="O283">
        <v>86475.51</v>
      </c>
    </row>
    <row r="284" spans="1:15">
      <c r="A284" t="s">
        <v>92</v>
      </c>
      <c r="B284" s="2">
        <v>45717</v>
      </c>
      <c r="C284" t="s">
        <v>24</v>
      </c>
      <c r="D284">
        <v>0</v>
      </c>
      <c r="E284">
        <v>1</v>
      </c>
      <c r="F284">
        <v>0</v>
      </c>
      <c r="G284" t="s">
        <v>18</v>
      </c>
      <c r="H284">
        <v>1</v>
      </c>
      <c r="I284">
        <v>0</v>
      </c>
      <c r="J284">
        <v>0</v>
      </c>
      <c r="K284">
        <v>3.15</v>
      </c>
      <c r="L284">
        <v>0</v>
      </c>
      <c r="M284">
        <v>4</v>
      </c>
      <c r="N284">
        <v>714083.68</v>
      </c>
      <c r="O284">
        <v>127231.74</v>
      </c>
    </row>
    <row r="285" spans="1:15">
      <c r="A285" t="s">
        <v>92</v>
      </c>
      <c r="B285" s="2">
        <v>45748</v>
      </c>
      <c r="C285" t="s">
        <v>24</v>
      </c>
      <c r="D285">
        <v>0</v>
      </c>
      <c r="E285">
        <v>1</v>
      </c>
      <c r="F285">
        <v>0</v>
      </c>
      <c r="G285" t="s">
        <v>18</v>
      </c>
      <c r="H285">
        <v>1</v>
      </c>
      <c r="I285">
        <v>0</v>
      </c>
      <c r="J285">
        <v>0</v>
      </c>
      <c r="K285">
        <v>6.44</v>
      </c>
      <c r="L285">
        <v>0</v>
      </c>
      <c r="M285">
        <v>4.2</v>
      </c>
      <c r="N285">
        <v>497439.82</v>
      </c>
      <c r="O285">
        <v>93372.75</v>
      </c>
    </row>
    <row r="286" spans="1:15">
      <c r="A286" t="s">
        <v>93</v>
      </c>
      <c r="B286" s="2">
        <v>45658</v>
      </c>
      <c r="C286" t="s">
        <v>27</v>
      </c>
      <c r="D286">
        <v>0</v>
      </c>
      <c r="E286">
        <v>0</v>
      </c>
      <c r="F286">
        <v>1</v>
      </c>
      <c r="G286" t="s">
        <v>16</v>
      </c>
      <c r="H286">
        <v>0</v>
      </c>
      <c r="I286">
        <v>0</v>
      </c>
      <c r="J286">
        <v>0</v>
      </c>
      <c r="K286">
        <v>0.2</v>
      </c>
      <c r="L286">
        <v>1</v>
      </c>
      <c r="M286">
        <v>4.5</v>
      </c>
      <c r="N286">
        <v>636775.66</v>
      </c>
      <c r="O286">
        <v>122636.86</v>
      </c>
    </row>
    <row r="287" spans="1:15">
      <c r="A287" t="s">
        <v>93</v>
      </c>
      <c r="B287" s="2">
        <v>45689</v>
      </c>
      <c r="C287" t="s">
        <v>27</v>
      </c>
      <c r="D287">
        <v>0</v>
      </c>
      <c r="E287">
        <v>0</v>
      </c>
      <c r="F287">
        <v>1</v>
      </c>
      <c r="G287" t="s">
        <v>16</v>
      </c>
      <c r="H287">
        <v>0</v>
      </c>
      <c r="I287">
        <v>0</v>
      </c>
      <c r="J287">
        <v>0</v>
      </c>
      <c r="K287">
        <v>0.59</v>
      </c>
      <c r="L287">
        <v>0</v>
      </c>
      <c r="M287">
        <v>4.5</v>
      </c>
      <c r="N287">
        <v>633009.53</v>
      </c>
      <c r="O287">
        <v>123782.67</v>
      </c>
    </row>
    <row r="288" spans="1:15">
      <c r="A288" t="s">
        <v>93</v>
      </c>
      <c r="B288" s="2">
        <v>45717</v>
      </c>
      <c r="C288" t="s">
        <v>27</v>
      </c>
      <c r="D288">
        <v>0</v>
      </c>
      <c r="E288">
        <v>0</v>
      </c>
      <c r="F288">
        <v>1</v>
      </c>
      <c r="G288" t="s">
        <v>16</v>
      </c>
      <c r="H288">
        <v>0</v>
      </c>
      <c r="I288">
        <v>0</v>
      </c>
      <c r="J288">
        <v>0</v>
      </c>
      <c r="K288">
        <v>0.2</v>
      </c>
      <c r="L288">
        <v>1</v>
      </c>
      <c r="M288">
        <v>4.2</v>
      </c>
      <c r="N288">
        <v>609949</v>
      </c>
      <c r="O288">
        <v>126789.25</v>
      </c>
    </row>
    <row r="289" spans="1:15">
      <c r="A289" t="s">
        <v>93</v>
      </c>
      <c r="B289" s="2">
        <v>45748</v>
      </c>
      <c r="C289" t="s">
        <v>27</v>
      </c>
      <c r="D289">
        <v>0</v>
      </c>
      <c r="E289">
        <v>0</v>
      </c>
      <c r="F289">
        <v>1</v>
      </c>
      <c r="G289" t="s">
        <v>16</v>
      </c>
      <c r="H289">
        <v>0</v>
      </c>
      <c r="I289">
        <v>0</v>
      </c>
      <c r="J289">
        <v>0</v>
      </c>
      <c r="K289">
        <v>1.36</v>
      </c>
      <c r="L289">
        <v>0</v>
      </c>
      <c r="M289">
        <v>4.8</v>
      </c>
      <c r="N289">
        <v>548103.69999999995</v>
      </c>
      <c r="O289">
        <v>99905.52</v>
      </c>
    </row>
    <row r="290" spans="1:15">
      <c r="A290" t="s">
        <v>94</v>
      </c>
      <c r="B290" s="2">
        <v>45658</v>
      </c>
      <c r="C290" t="s">
        <v>15</v>
      </c>
      <c r="D290">
        <v>0</v>
      </c>
      <c r="E290">
        <v>0</v>
      </c>
      <c r="F290">
        <v>0</v>
      </c>
      <c r="G290" t="s">
        <v>16</v>
      </c>
      <c r="H290">
        <v>0</v>
      </c>
      <c r="I290">
        <v>0</v>
      </c>
      <c r="J290">
        <v>0</v>
      </c>
      <c r="K290">
        <v>3.34</v>
      </c>
      <c r="L290">
        <v>0</v>
      </c>
      <c r="M290">
        <v>3.7</v>
      </c>
      <c r="N290">
        <v>729424.42</v>
      </c>
      <c r="O290">
        <v>75592.28</v>
      </c>
    </row>
    <row r="291" spans="1:15">
      <c r="A291" t="s">
        <v>94</v>
      </c>
      <c r="B291" s="2">
        <v>45689</v>
      </c>
      <c r="C291" t="s">
        <v>15</v>
      </c>
      <c r="D291">
        <v>0</v>
      </c>
      <c r="E291">
        <v>0</v>
      </c>
      <c r="F291">
        <v>0</v>
      </c>
      <c r="G291" t="s">
        <v>16</v>
      </c>
      <c r="H291">
        <v>0</v>
      </c>
      <c r="I291">
        <v>0</v>
      </c>
      <c r="J291">
        <v>0</v>
      </c>
      <c r="K291">
        <v>0.33</v>
      </c>
      <c r="L291">
        <v>0</v>
      </c>
      <c r="M291">
        <v>4</v>
      </c>
      <c r="N291">
        <v>696261.49</v>
      </c>
      <c r="O291">
        <v>72455.350000000006</v>
      </c>
    </row>
    <row r="292" spans="1:15">
      <c r="A292" t="s">
        <v>94</v>
      </c>
      <c r="B292" s="2">
        <v>45717</v>
      </c>
      <c r="C292" t="s">
        <v>15</v>
      </c>
      <c r="D292">
        <v>0</v>
      </c>
      <c r="E292">
        <v>0</v>
      </c>
      <c r="F292">
        <v>0</v>
      </c>
      <c r="G292" t="s">
        <v>16</v>
      </c>
      <c r="H292">
        <v>0</v>
      </c>
      <c r="I292">
        <v>0</v>
      </c>
      <c r="J292">
        <v>0</v>
      </c>
      <c r="K292">
        <v>3.44</v>
      </c>
      <c r="L292">
        <v>1</v>
      </c>
      <c r="M292">
        <v>4.3</v>
      </c>
      <c r="N292">
        <v>813316.71</v>
      </c>
      <c r="O292">
        <v>110077.42</v>
      </c>
    </row>
    <row r="293" spans="1:15">
      <c r="A293" t="s">
        <v>94</v>
      </c>
      <c r="B293" s="2">
        <v>45748</v>
      </c>
      <c r="C293" t="s">
        <v>15</v>
      </c>
      <c r="D293">
        <v>0</v>
      </c>
      <c r="E293">
        <v>0</v>
      </c>
      <c r="F293">
        <v>0</v>
      </c>
      <c r="G293" t="s">
        <v>16</v>
      </c>
      <c r="H293">
        <v>0</v>
      </c>
      <c r="I293">
        <v>0</v>
      </c>
      <c r="J293">
        <v>0</v>
      </c>
      <c r="K293">
        <v>5.33</v>
      </c>
      <c r="L293">
        <v>0</v>
      </c>
      <c r="M293">
        <v>4.0999999999999996</v>
      </c>
      <c r="N293">
        <v>702068.92</v>
      </c>
      <c r="O293">
        <v>111266.63</v>
      </c>
    </row>
    <row r="294" spans="1:15">
      <c r="A294" t="s">
        <v>95</v>
      </c>
      <c r="B294" s="2">
        <v>45658</v>
      </c>
      <c r="C294" t="s">
        <v>27</v>
      </c>
      <c r="D294">
        <v>0</v>
      </c>
      <c r="E294">
        <v>0</v>
      </c>
      <c r="F294">
        <v>1</v>
      </c>
      <c r="G294" t="s">
        <v>18</v>
      </c>
      <c r="H294">
        <v>1</v>
      </c>
      <c r="I294">
        <v>0</v>
      </c>
      <c r="J294">
        <v>0</v>
      </c>
      <c r="K294">
        <v>6.04</v>
      </c>
      <c r="L294">
        <v>0</v>
      </c>
      <c r="M294">
        <v>4.5</v>
      </c>
      <c r="N294">
        <v>546223.69999999995</v>
      </c>
      <c r="O294">
        <v>100769.17</v>
      </c>
    </row>
    <row r="295" spans="1:15">
      <c r="A295" t="s">
        <v>95</v>
      </c>
      <c r="B295" s="2">
        <v>45689</v>
      </c>
      <c r="C295" t="s">
        <v>27</v>
      </c>
      <c r="D295">
        <v>0</v>
      </c>
      <c r="E295">
        <v>0</v>
      </c>
      <c r="F295">
        <v>1</v>
      </c>
      <c r="G295" t="s">
        <v>18</v>
      </c>
      <c r="H295">
        <v>1</v>
      </c>
      <c r="I295">
        <v>0</v>
      </c>
      <c r="J295">
        <v>0</v>
      </c>
      <c r="K295">
        <v>1.6</v>
      </c>
      <c r="L295">
        <v>0</v>
      </c>
      <c r="M295">
        <v>4.2</v>
      </c>
      <c r="N295">
        <v>533121.26</v>
      </c>
      <c r="O295">
        <v>55063.39</v>
      </c>
    </row>
    <row r="296" spans="1:15">
      <c r="A296" t="s">
        <v>95</v>
      </c>
      <c r="B296" s="2">
        <v>45717</v>
      </c>
      <c r="C296" t="s">
        <v>27</v>
      </c>
      <c r="D296">
        <v>0</v>
      </c>
      <c r="E296">
        <v>0</v>
      </c>
      <c r="F296">
        <v>1</v>
      </c>
      <c r="G296" t="s">
        <v>18</v>
      </c>
      <c r="H296">
        <v>1</v>
      </c>
      <c r="I296">
        <v>0</v>
      </c>
      <c r="J296">
        <v>0</v>
      </c>
      <c r="K296">
        <v>8.9600000000000009</v>
      </c>
      <c r="L296">
        <v>0</v>
      </c>
      <c r="M296">
        <v>4.7</v>
      </c>
      <c r="N296">
        <v>498970.32</v>
      </c>
      <c r="O296">
        <v>69656.7</v>
      </c>
    </row>
    <row r="297" spans="1:15">
      <c r="A297" t="s">
        <v>95</v>
      </c>
      <c r="B297" s="2">
        <v>45748</v>
      </c>
      <c r="C297" t="s">
        <v>27</v>
      </c>
      <c r="D297">
        <v>0</v>
      </c>
      <c r="E297">
        <v>0</v>
      </c>
      <c r="F297">
        <v>1</v>
      </c>
      <c r="G297" t="s">
        <v>18</v>
      </c>
      <c r="H297">
        <v>1</v>
      </c>
      <c r="I297">
        <v>0</v>
      </c>
      <c r="J297">
        <v>0</v>
      </c>
      <c r="K297">
        <v>0.74</v>
      </c>
      <c r="L297">
        <v>0</v>
      </c>
      <c r="M297">
        <v>4.5999999999999996</v>
      </c>
      <c r="N297">
        <v>487738.26</v>
      </c>
      <c r="O297">
        <v>96435.6</v>
      </c>
    </row>
    <row r="298" spans="1:15">
      <c r="A298" t="s">
        <v>96</v>
      </c>
      <c r="B298" s="2">
        <v>45658</v>
      </c>
      <c r="C298" t="s">
        <v>27</v>
      </c>
      <c r="D298">
        <v>0</v>
      </c>
      <c r="E298">
        <v>0</v>
      </c>
      <c r="F298">
        <v>1</v>
      </c>
      <c r="G298" t="s">
        <v>18</v>
      </c>
      <c r="H298">
        <v>1</v>
      </c>
      <c r="I298">
        <v>0</v>
      </c>
      <c r="J298">
        <v>0</v>
      </c>
      <c r="K298">
        <v>6.13</v>
      </c>
      <c r="L298">
        <v>0</v>
      </c>
      <c r="M298">
        <v>3.3</v>
      </c>
      <c r="N298">
        <v>668459.37</v>
      </c>
      <c r="O298">
        <v>126435.42</v>
      </c>
    </row>
    <row r="299" spans="1:15">
      <c r="A299" t="s">
        <v>96</v>
      </c>
      <c r="B299" s="2">
        <v>45689</v>
      </c>
      <c r="C299" t="s">
        <v>27</v>
      </c>
      <c r="D299">
        <v>0</v>
      </c>
      <c r="E299">
        <v>0</v>
      </c>
      <c r="F299">
        <v>1</v>
      </c>
      <c r="G299" t="s">
        <v>18</v>
      </c>
      <c r="H299">
        <v>1</v>
      </c>
      <c r="I299">
        <v>0</v>
      </c>
      <c r="J299">
        <v>0</v>
      </c>
      <c r="K299">
        <v>1.41</v>
      </c>
      <c r="L299">
        <v>0</v>
      </c>
      <c r="M299">
        <v>3.3</v>
      </c>
      <c r="N299">
        <v>763162.45</v>
      </c>
      <c r="O299">
        <v>162524.04999999999</v>
      </c>
    </row>
    <row r="300" spans="1:15">
      <c r="A300" t="s">
        <v>96</v>
      </c>
      <c r="B300" s="2">
        <v>45717</v>
      </c>
      <c r="C300" t="s">
        <v>27</v>
      </c>
      <c r="D300">
        <v>0</v>
      </c>
      <c r="E300">
        <v>0</v>
      </c>
      <c r="F300">
        <v>1</v>
      </c>
      <c r="G300" t="s">
        <v>18</v>
      </c>
      <c r="H300">
        <v>1</v>
      </c>
      <c r="I300">
        <v>0</v>
      </c>
      <c r="J300">
        <v>0</v>
      </c>
      <c r="K300">
        <v>3.75</v>
      </c>
      <c r="L300">
        <v>0</v>
      </c>
      <c r="M300">
        <v>3.1</v>
      </c>
      <c r="N300">
        <v>599017.32999999996</v>
      </c>
      <c r="O300">
        <v>134009.92000000001</v>
      </c>
    </row>
    <row r="301" spans="1:15">
      <c r="A301" t="s">
        <v>96</v>
      </c>
      <c r="B301" s="2">
        <v>45748</v>
      </c>
      <c r="C301" t="s">
        <v>27</v>
      </c>
      <c r="D301">
        <v>0</v>
      </c>
      <c r="E301">
        <v>0</v>
      </c>
      <c r="F301">
        <v>1</v>
      </c>
      <c r="G301" t="s">
        <v>18</v>
      </c>
      <c r="H301">
        <v>1</v>
      </c>
      <c r="I301">
        <v>0</v>
      </c>
      <c r="J301">
        <v>0</v>
      </c>
      <c r="K301">
        <v>15.06</v>
      </c>
      <c r="L301">
        <v>0</v>
      </c>
      <c r="M301">
        <v>3.2</v>
      </c>
      <c r="N301">
        <v>401582.58</v>
      </c>
      <c r="O301">
        <v>68454.929999999993</v>
      </c>
    </row>
    <row r="302" spans="1:15">
      <c r="A302" t="s">
        <v>97</v>
      </c>
      <c r="B302" s="2">
        <v>45658</v>
      </c>
      <c r="C302" t="s">
        <v>20</v>
      </c>
      <c r="D302">
        <v>1</v>
      </c>
      <c r="E302">
        <v>0</v>
      </c>
      <c r="F302">
        <v>0</v>
      </c>
      <c r="G302" t="s">
        <v>28</v>
      </c>
      <c r="H302">
        <v>0</v>
      </c>
      <c r="I302">
        <v>0</v>
      </c>
      <c r="J302">
        <v>1</v>
      </c>
      <c r="K302">
        <v>5.07</v>
      </c>
      <c r="L302">
        <v>1</v>
      </c>
      <c r="M302">
        <v>4.0999999999999996</v>
      </c>
      <c r="N302">
        <v>703812.99</v>
      </c>
      <c r="O302">
        <v>133577.98000000001</v>
      </c>
    </row>
    <row r="303" spans="1:15">
      <c r="A303" t="s">
        <v>97</v>
      </c>
      <c r="B303" s="2">
        <v>45689</v>
      </c>
      <c r="C303" t="s">
        <v>20</v>
      </c>
      <c r="D303">
        <v>1</v>
      </c>
      <c r="E303">
        <v>0</v>
      </c>
      <c r="F303">
        <v>0</v>
      </c>
      <c r="G303" t="s">
        <v>28</v>
      </c>
      <c r="H303">
        <v>0</v>
      </c>
      <c r="I303">
        <v>0</v>
      </c>
      <c r="J303">
        <v>1</v>
      </c>
      <c r="K303">
        <v>3.6</v>
      </c>
      <c r="L303">
        <v>0</v>
      </c>
      <c r="M303">
        <v>3.7</v>
      </c>
      <c r="N303">
        <v>724346.73</v>
      </c>
      <c r="O303">
        <v>155013.91</v>
      </c>
    </row>
    <row r="304" spans="1:15">
      <c r="A304" t="s">
        <v>97</v>
      </c>
      <c r="B304" s="2">
        <v>45717</v>
      </c>
      <c r="C304" t="s">
        <v>20</v>
      </c>
      <c r="D304">
        <v>1</v>
      </c>
      <c r="E304">
        <v>0</v>
      </c>
      <c r="F304">
        <v>0</v>
      </c>
      <c r="G304" t="s">
        <v>28</v>
      </c>
      <c r="H304">
        <v>0</v>
      </c>
      <c r="I304">
        <v>0</v>
      </c>
      <c r="J304">
        <v>1</v>
      </c>
      <c r="K304">
        <v>4.3899999999999997</v>
      </c>
      <c r="L304">
        <v>1</v>
      </c>
      <c r="M304">
        <v>4.7</v>
      </c>
      <c r="N304">
        <v>730890.01</v>
      </c>
      <c r="O304">
        <v>105502.56</v>
      </c>
    </row>
    <row r="305" spans="1:15">
      <c r="A305" t="s">
        <v>97</v>
      </c>
      <c r="B305" s="2">
        <v>45748</v>
      </c>
      <c r="C305" t="s">
        <v>20</v>
      </c>
      <c r="D305">
        <v>1</v>
      </c>
      <c r="E305">
        <v>0</v>
      </c>
      <c r="F305">
        <v>0</v>
      </c>
      <c r="G305" t="s">
        <v>28</v>
      </c>
      <c r="H305">
        <v>0</v>
      </c>
      <c r="I305">
        <v>0</v>
      </c>
      <c r="J305">
        <v>1</v>
      </c>
      <c r="K305">
        <v>2.79</v>
      </c>
      <c r="L305">
        <v>0</v>
      </c>
      <c r="M305">
        <v>4.2</v>
      </c>
      <c r="N305">
        <v>780580.95</v>
      </c>
      <c r="O305">
        <v>138144.46</v>
      </c>
    </row>
    <row r="306" spans="1:15">
      <c r="A306" t="s">
        <v>98</v>
      </c>
      <c r="B306" s="2">
        <v>45658</v>
      </c>
      <c r="C306" t="s">
        <v>24</v>
      </c>
      <c r="D306">
        <v>0</v>
      </c>
      <c r="E306">
        <v>1</v>
      </c>
      <c r="F306">
        <v>0</v>
      </c>
      <c r="G306" t="s">
        <v>16</v>
      </c>
      <c r="H306">
        <v>0</v>
      </c>
      <c r="I306">
        <v>0</v>
      </c>
      <c r="J306">
        <v>0</v>
      </c>
      <c r="K306">
        <v>1.56</v>
      </c>
      <c r="L306">
        <v>0</v>
      </c>
      <c r="M306">
        <v>4</v>
      </c>
      <c r="N306">
        <v>727957.48</v>
      </c>
      <c r="O306">
        <v>74805.23</v>
      </c>
    </row>
    <row r="307" spans="1:15">
      <c r="A307" t="s">
        <v>98</v>
      </c>
      <c r="B307" s="2">
        <v>45689</v>
      </c>
      <c r="C307" t="s">
        <v>24</v>
      </c>
      <c r="D307">
        <v>0</v>
      </c>
      <c r="E307">
        <v>1</v>
      </c>
      <c r="F307">
        <v>0</v>
      </c>
      <c r="G307" t="s">
        <v>16</v>
      </c>
      <c r="H307">
        <v>0</v>
      </c>
      <c r="I307">
        <v>0</v>
      </c>
      <c r="J307">
        <v>0</v>
      </c>
      <c r="K307">
        <v>15.82</v>
      </c>
      <c r="L307">
        <v>0</v>
      </c>
      <c r="M307">
        <v>3.8</v>
      </c>
      <c r="N307">
        <v>538376</v>
      </c>
      <c r="O307">
        <v>87605.62</v>
      </c>
    </row>
    <row r="308" spans="1:15">
      <c r="A308" t="s">
        <v>98</v>
      </c>
      <c r="B308" s="2">
        <v>45717</v>
      </c>
      <c r="C308" t="s">
        <v>24</v>
      </c>
      <c r="D308">
        <v>0</v>
      </c>
      <c r="E308">
        <v>1</v>
      </c>
      <c r="F308">
        <v>0</v>
      </c>
      <c r="G308" t="s">
        <v>16</v>
      </c>
      <c r="H308">
        <v>0</v>
      </c>
      <c r="I308">
        <v>0</v>
      </c>
      <c r="J308">
        <v>0</v>
      </c>
      <c r="K308">
        <v>1.17</v>
      </c>
      <c r="L308">
        <v>1</v>
      </c>
      <c r="M308">
        <v>3.7</v>
      </c>
      <c r="N308">
        <v>665342.49</v>
      </c>
      <c r="O308">
        <v>93441.81</v>
      </c>
    </row>
    <row r="309" spans="1:15">
      <c r="A309" t="s">
        <v>98</v>
      </c>
      <c r="B309" s="2">
        <v>45748</v>
      </c>
      <c r="C309" t="s">
        <v>24</v>
      </c>
      <c r="D309">
        <v>0</v>
      </c>
      <c r="E309">
        <v>1</v>
      </c>
      <c r="F309">
        <v>0</v>
      </c>
      <c r="G309" t="s">
        <v>16</v>
      </c>
      <c r="H309">
        <v>0</v>
      </c>
      <c r="I309">
        <v>0</v>
      </c>
      <c r="J309">
        <v>0</v>
      </c>
      <c r="K309">
        <v>3.82</v>
      </c>
      <c r="L309">
        <v>0</v>
      </c>
      <c r="M309">
        <v>3.5</v>
      </c>
      <c r="N309">
        <v>651164.18000000005</v>
      </c>
      <c r="O309">
        <v>109466.5</v>
      </c>
    </row>
    <row r="310" spans="1:15">
      <c r="A310" t="s">
        <v>99</v>
      </c>
      <c r="B310" s="2">
        <v>45658</v>
      </c>
      <c r="C310" t="s">
        <v>24</v>
      </c>
      <c r="D310">
        <v>0</v>
      </c>
      <c r="E310">
        <v>1</v>
      </c>
      <c r="F310">
        <v>0</v>
      </c>
      <c r="G310" t="s">
        <v>18</v>
      </c>
      <c r="H310">
        <v>1</v>
      </c>
      <c r="I310">
        <v>0</v>
      </c>
      <c r="J310">
        <v>0</v>
      </c>
      <c r="K310">
        <v>4.1399999999999997</v>
      </c>
      <c r="L310">
        <v>0</v>
      </c>
      <c r="M310">
        <v>4</v>
      </c>
      <c r="N310">
        <v>628538.30000000005</v>
      </c>
      <c r="O310">
        <v>112509.15</v>
      </c>
    </row>
    <row r="311" spans="1:15">
      <c r="A311" t="s">
        <v>99</v>
      </c>
      <c r="B311" s="2">
        <v>45689</v>
      </c>
      <c r="C311" t="s">
        <v>24</v>
      </c>
      <c r="D311">
        <v>0</v>
      </c>
      <c r="E311">
        <v>1</v>
      </c>
      <c r="F311">
        <v>0</v>
      </c>
      <c r="G311" t="s">
        <v>18</v>
      </c>
      <c r="H311">
        <v>1</v>
      </c>
      <c r="I311">
        <v>0</v>
      </c>
      <c r="J311">
        <v>0</v>
      </c>
      <c r="K311">
        <v>1.1000000000000001</v>
      </c>
      <c r="L311">
        <v>0</v>
      </c>
      <c r="M311">
        <v>4.3</v>
      </c>
      <c r="N311">
        <v>536524.84</v>
      </c>
      <c r="O311">
        <v>92752.94</v>
      </c>
    </row>
    <row r="312" spans="1:15">
      <c r="A312" t="s">
        <v>99</v>
      </c>
      <c r="B312" s="2">
        <v>45717</v>
      </c>
      <c r="C312" t="s">
        <v>24</v>
      </c>
      <c r="D312">
        <v>0</v>
      </c>
      <c r="E312">
        <v>1</v>
      </c>
      <c r="F312">
        <v>0</v>
      </c>
      <c r="G312" t="s">
        <v>18</v>
      </c>
      <c r="H312">
        <v>1</v>
      </c>
      <c r="I312">
        <v>0</v>
      </c>
      <c r="J312">
        <v>0</v>
      </c>
      <c r="K312">
        <v>10.6</v>
      </c>
      <c r="L312">
        <v>0</v>
      </c>
      <c r="M312">
        <v>4.2</v>
      </c>
      <c r="N312">
        <v>621677.30000000005</v>
      </c>
      <c r="O312">
        <v>105192.52</v>
      </c>
    </row>
    <row r="313" spans="1:15">
      <c r="A313" t="s">
        <v>99</v>
      </c>
      <c r="B313" s="2">
        <v>45748</v>
      </c>
      <c r="C313" t="s">
        <v>24</v>
      </c>
      <c r="D313">
        <v>0</v>
      </c>
      <c r="E313">
        <v>1</v>
      </c>
      <c r="F313">
        <v>0</v>
      </c>
      <c r="G313" t="s">
        <v>18</v>
      </c>
      <c r="H313">
        <v>1</v>
      </c>
      <c r="I313">
        <v>0</v>
      </c>
      <c r="J313">
        <v>0</v>
      </c>
      <c r="K313">
        <v>0.9</v>
      </c>
      <c r="L313">
        <v>0</v>
      </c>
      <c r="N313">
        <v>771129.07</v>
      </c>
      <c r="O313">
        <v>116851.13</v>
      </c>
    </row>
    <row r="314" spans="1:15">
      <c r="A314" t="s">
        <v>100</v>
      </c>
      <c r="B314" s="2">
        <v>45658</v>
      </c>
      <c r="C314" t="s">
        <v>20</v>
      </c>
      <c r="D314">
        <v>1</v>
      </c>
      <c r="E314">
        <v>0</v>
      </c>
      <c r="F314">
        <v>0</v>
      </c>
      <c r="G314" t="s">
        <v>16</v>
      </c>
      <c r="H314">
        <v>0</v>
      </c>
      <c r="I314">
        <v>0</v>
      </c>
      <c r="J314">
        <v>0</v>
      </c>
      <c r="K314">
        <v>0.2</v>
      </c>
      <c r="L314">
        <v>0</v>
      </c>
      <c r="M314">
        <v>3.4</v>
      </c>
      <c r="N314">
        <v>702052.47</v>
      </c>
      <c r="O314">
        <v>121732.51</v>
      </c>
    </row>
    <row r="315" spans="1:15">
      <c r="A315" t="s">
        <v>100</v>
      </c>
      <c r="B315" s="2">
        <v>45689</v>
      </c>
      <c r="C315" t="s">
        <v>20</v>
      </c>
      <c r="D315">
        <v>1</v>
      </c>
      <c r="E315">
        <v>0</v>
      </c>
      <c r="F315">
        <v>0</v>
      </c>
      <c r="G315" t="s">
        <v>16</v>
      </c>
      <c r="H315">
        <v>0</v>
      </c>
      <c r="I315">
        <v>0</v>
      </c>
      <c r="J315">
        <v>0</v>
      </c>
      <c r="K315">
        <v>4.67</v>
      </c>
      <c r="L315">
        <v>0</v>
      </c>
      <c r="N315">
        <v>688368.46</v>
      </c>
      <c r="O315">
        <v>93588.42</v>
      </c>
    </row>
    <row r="316" spans="1:15">
      <c r="A316" t="s">
        <v>100</v>
      </c>
      <c r="B316" s="2">
        <v>45717</v>
      </c>
      <c r="C316" t="s">
        <v>20</v>
      </c>
      <c r="D316">
        <v>1</v>
      </c>
      <c r="E316">
        <v>0</v>
      </c>
      <c r="F316">
        <v>0</v>
      </c>
      <c r="G316" t="s">
        <v>16</v>
      </c>
      <c r="H316">
        <v>0</v>
      </c>
      <c r="I316">
        <v>0</v>
      </c>
      <c r="J316">
        <v>0</v>
      </c>
      <c r="K316">
        <v>4.38</v>
      </c>
      <c r="L316">
        <v>1</v>
      </c>
      <c r="M316">
        <v>3.9</v>
      </c>
      <c r="N316">
        <v>712375.77</v>
      </c>
      <c r="O316">
        <v>104171.53</v>
      </c>
    </row>
    <row r="317" spans="1:15">
      <c r="A317" t="s">
        <v>100</v>
      </c>
      <c r="B317" s="2">
        <v>45748</v>
      </c>
      <c r="C317" t="s">
        <v>20</v>
      </c>
      <c r="D317">
        <v>1</v>
      </c>
      <c r="E317">
        <v>0</v>
      </c>
      <c r="F317">
        <v>0</v>
      </c>
      <c r="G317" t="s">
        <v>16</v>
      </c>
      <c r="H317">
        <v>0</v>
      </c>
      <c r="I317">
        <v>0</v>
      </c>
      <c r="J317">
        <v>0</v>
      </c>
      <c r="K317">
        <v>4.4800000000000004</v>
      </c>
      <c r="L317">
        <v>0</v>
      </c>
      <c r="M317">
        <v>4.2</v>
      </c>
      <c r="N317">
        <v>844710.67</v>
      </c>
      <c r="O317">
        <v>137140.18</v>
      </c>
    </row>
    <row r="318" spans="1:15">
      <c r="A318" t="s">
        <v>101</v>
      </c>
      <c r="B318" s="2">
        <v>45658</v>
      </c>
      <c r="C318" t="s">
        <v>15</v>
      </c>
      <c r="D318">
        <v>0</v>
      </c>
      <c r="E318">
        <v>0</v>
      </c>
      <c r="F318">
        <v>0</v>
      </c>
      <c r="G318" t="s">
        <v>16</v>
      </c>
      <c r="H318">
        <v>0</v>
      </c>
      <c r="I318">
        <v>0</v>
      </c>
      <c r="J318">
        <v>0</v>
      </c>
      <c r="K318">
        <v>1.02</v>
      </c>
      <c r="L318">
        <v>1</v>
      </c>
      <c r="M318">
        <v>4</v>
      </c>
      <c r="N318">
        <v>620264.19999999995</v>
      </c>
      <c r="O318">
        <v>91365.64</v>
      </c>
    </row>
    <row r="319" spans="1:15">
      <c r="A319" t="s">
        <v>101</v>
      </c>
      <c r="B319" s="2">
        <v>45689</v>
      </c>
      <c r="C319" t="s">
        <v>15</v>
      </c>
      <c r="D319">
        <v>0</v>
      </c>
      <c r="E319">
        <v>0</v>
      </c>
      <c r="F319">
        <v>0</v>
      </c>
      <c r="G319" t="s">
        <v>16</v>
      </c>
      <c r="H319">
        <v>0</v>
      </c>
      <c r="I319">
        <v>0</v>
      </c>
      <c r="J319">
        <v>0</v>
      </c>
      <c r="K319">
        <v>0.2</v>
      </c>
      <c r="L319">
        <v>0</v>
      </c>
      <c r="M319">
        <v>3.8</v>
      </c>
      <c r="N319">
        <v>536845.42000000004</v>
      </c>
      <c r="O319">
        <v>107473.75</v>
      </c>
    </row>
    <row r="320" spans="1:15">
      <c r="A320" t="s">
        <v>101</v>
      </c>
      <c r="B320" s="2">
        <v>45717</v>
      </c>
      <c r="C320" t="s">
        <v>15</v>
      </c>
      <c r="D320">
        <v>0</v>
      </c>
      <c r="E320">
        <v>0</v>
      </c>
      <c r="F320">
        <v>0</v>
      </c>
      <c r="G320" t="s">
        <v>16</v>
      </c>
      <c r="H320">
        <v>0</v>
      </c>
      <c r="I320">
        <v>0</v>
      </c>
      <c r="J320">
        <v>0</v>
      </c>
      <c r="K320">
        <v>4.8899999999999997</v>
      </c>
      <c r="L320">
        <v>1</v>
      </c>
      <c r="M320">
        <v>4.2</v>
      </c>
      <c r="N320">
        <v>726776.22</v>
      </c>
      <c r="O320">
        <v>90804.49</v>
      </c>
    </row>
    <row r="321" spans="1:15">
      <c r="A321" t="s">
        <v>101</v>
      </c>
      <c r="B321" s="2">
        <v>45748</v>
      </c>
      <c r="C321" t="s">
        <v>15</v>
      </c>
      <c r="D321">
        <v>0</v>
      </c>
      <c r="E321">
        <v>0</v>
      </c>
      <c r="F321">
        <v>0</v>
      </c>
      <c r="G321" t="s">
        <v>16</v>
      </c>
      <c r="H321">
        <v>0</v>
      </c>
      <c r="I321">
        <v>0</v>
      </c>
      <c r="J321">
        <v>0</v>
      </c>
      <c r="K321">
        <v>11.82</v>
      </c>
      <c r="L321">
        <v>0</v>
      </c>
      <c r="M321">
        <v>4.0999999999999996</v>
      </c>
      <c r="N321">
        <v>559660.84</v>
      </c>
      <c r="O321">
        <v>71443.61</v>
      </c>
    </row>
  </sheetData>
  <autoFilter ref="H1:H322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7.6">
      <c r="A5" s="3" t="s">
        <v>3</v>
      </c>
      <c r="B5" s="3" t="s">
        <v>107</v>
      </c>
    </row>
    <row r="6" spans="1:2" ht="27.6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7.6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7.6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1.4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7.6">
      <c r="A14" s="3" t="s">
        <v>12</v>
      </c>
      <c r="B14" s="3" t="s">
        <v>116</v>
      </c>
    </row>
    <row r="15" spans="1:2" ht="27.6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regression_analysis</vt:lpstr>
      <vt:lpstr>regression_2</vt:lpstr>
      <vt:lpstr>multi-regression</vt:lpstr>
      <vt:lpstr>store_performance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Barkha Srivastava</dc:creator>
  <cp:lastModifiedBy>Barkha Srivastava</cp:lastModifiedBy>
  <dcterms:created xsi:type="dcterms:W3CDTF">2026-06-27T14:48:10Z</dcterms:created>
  <dcterms:modified xsi:type="dcterms:W3CDTF">2026-06-28T05:50:43Z</dcterms:modified>
</cp:coreProperties>
</file>